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6BD020F5-3EF3-4B52-ACC4-54373B6645BA}" xr6:coauthVersionLast="47" xr6:coauthVersionMax="47" xr10:uidLastSave="{00000000-0000-0000-0000-000000000000}"/>
  <bookViews>
    <workbookView xWindow="-110" yWindow="-110" windowWidth="38620" windowHeight="21100" activeTab="2" xr2:uid="{19EAABD8-86DB-47E6-BFD1-E1050F603343}"/>
  </bookViews>
  <sheets>
    <sheet name="llama2-7b" sheetId="1" r:id="rId1"/>
    <sheet name="llama3-8b-60_7_10" sheetId="4" r:id="rId2"/>
    <sheet name="llama3-8b-60_5_10" sheetId="3" r:id="rId3"/>
    <sheet name="llama3-8b-16_3_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9" i="5" l="1"/>
  <c r="I78" i="5"/>
  <c r="I77" i="5"/>
  <c r="I76" i="5"/>
  <c r="I75" i="5"/>
  <c r="I72" i="5"/>
  <c r="I71" i="5"/>
  <c r="I70" i="5"/>
  <c r="I69" i="5"/>
  <c r="I68" i="5"/>
  <c r="P211" i="3"/>
  <c r="P210" i="3"/>
  <c r="P209" i="3"/>
  <c r="P208" i="3"/>
  <c r="P207" i="3"/>
  <c r="P203" i="3"/>
  <c r="P202" i="3"/>
  <c r="P201" i="3"/>
  <c r="P200" i="3"/>
  <c r="P199" i="3"/>
  <c r="P175" i="3"/>
  <c r="P174" i="3"/>
  <c r="P173" i="3"/>
  <c r="P172" i="3"/>
  <c r="P171" i="3"/>
  <c r="P167" i="3"/>
  <c r="P166" i="3"/>
  <c r="P165" i="3"/>
  <c r="P164" i="3"/>
  <c r="P163" i="3"/>
  <c r="P193" i="3"/>
  <c r="P192" i="3"/>
  <c r="P191" i="3"/>
  <c r="P190" i="3"/>
  <c r="P189" i="3"/>
  <c r="P185" i="3"/>
  <c r="P184" i="3"/>
  <c r="P183" i="3"/>
  <c r="P182" i="3"/>
  <c r="P181" i="3"/>
  <c r="P153" i="1"/>
  <c r="P145" i="1"/>
  <c r="P152" i="1"/>
  <c r="P144" i="1"/>
  <c r="P151" i="1"/>
  <c r="P143" i="1"/>
  <c r="P134" i="1"/>
  <c r="P126" i="1"/>
  <c r="P133" i="1"/>
  <c r="P125" i="1"/>
  <c r="P150" i="1"/>
  <c r="P142" i="1"/>
  <c r="P149" i="1"/>
  <c r="P141" i="1"/>
  <c r="P132" i="1"/>
  <c r="P124" i="1"/>
  <c r="P131" i="1"/>
  <c r="P135" i="1"/>
  <c r="P127" i="1"/>
  <c r="P123" i="1"/>
  <c r="P52" i="3"/>
  <c r="P44" i="3"/>
  <c r="I31" i="5"/>
  <c r="I30" i="5"/>
  <c r="I29" i="5"/>
  <c r="I28" i="5"/>
  <c r="I27" i="5"/>
  <c r="I24" i="5"/>
  <c r="I23" i="5"/>
  <c r="I22" i="5"/>
  <c r="I21" i="5"/>
  <c r="I20" i="5"/>
  <c r="I12" i="5"/>
  <c r="I13" i="5"/>
  <c r="I14" i="5"/>
  <c r="I15" i="5"/>
  <c r="I5" i="5"/>
  <c r="I6" i="5"/>
  <c r="I7" i="5"/>
  <c r="I8" i="5"/>
  <c r="I11" i="5"/>
  <c r="I4" i="5"/>
  <c r="I60" i="5"/>
  <c r="I61" i="5"/>
  <c r="I62" i="5"/>
  <c r="I63" i="5"/>
  <c r="I53" i="5"/>
  <c r="I54" i="5"/>
  <c r="I55" i="5"/>
  <c r="I56" i="5"/>
  <c r="I59" i="5"/>
  <c r="I52" i="5"/>
  <c r="I47" i="5"/>
  <c r="I40" i="5"/>
  <c r="I46" i="5"/>
  <c r="I39" i="5"/>
  <c r="I45" i="5"/>
  <c r="I38" i="5"/>
  <c r="I44" i="5"/>
  <c r="I37" i="5"/>
  <c r="I43" i="5"/>
  <c r="I36" i="5"/>
  <c r="P53" i="3"/>
  <c r="P45" i="3"/>
  <c r="P51" i="3"/>
  <c r="P43" i="3"/>
  <c r="P89" i="4"/>
  <c r="P81" i="4"/>
  <c r="P88" i="4"/>
  <c r="P80" i="4"/>
  <c r="P87" i="4"/>
  <c r="P79" i="4"/>
  <c r="P86" i="4"/>
  <c r="P78" i="4"/>
  <c r="P85" i="4"/>
  <c r="P77" i="4"/>
  <c r="P50" i="3"/>
  <c r="P42" i="3"/>
  <c r="P49" i="3"/>
  <c r="P41" i="3"/>
  <c r="P155" i="3"/>
  <c r="P147" i="3"/>
  <c r="P156" i="3"/>
  <c r="P148" i="3"/>
  <c r="P137" i="3"/>
  <c r="P129" i="3"/>
  <c r="P138" i="3"/>
  <c r="P130" i="3"/>
  <c r="P157" i="3"/>
  <c r="P149" i="3"/>
  <c r="P154" i="3"/>
  <c r="P146" i="3"/>
  <c r="P139" i="3"/>
  <c r="P131" i="3"/>
  <c r="P136" i="3"/>
  <c r="P128" i="3"/>
  <c r="P153" i="3"/>
  <c r="P145" i="3"/>
  <c r="P70" i="3"/>
  <c r="P62" i="3"/>
  <c r="P135" i="3"/>
  <c r="P127" i="3"/>
  <c r="P71" i="3"/>
  <c r="P63" i="3"/>
  <c r="P69" i="3"/>
  <c r="P61" i="3"/>
  <c r="P68" i="3"/>
  <c r="P60" i="3"/>
  <c r="P85" i="3"/>
  <c r="P79" i="3"/>
  <c r="P84" i="3"/>
  <c r="P78" i="3"/>
  <c r="P83" i="3"/>
  <c r="P77" i="3"/>
  <c r="P67" i="3"/>
  <c r="P59" i="3"/>
  <c r="P120" i="3"/>
  <c r="P112" i="3"/>
  <c r="P70" i="4"/>
  <c r="P62" i="4"/>
  <c r="P121" i="3"/>
  <c r="P113" i="3"/>
  <c r="P119" i="3"/>
  <c r="P111" i="3"/>
  <c r="P118" i="3"/>
  <c r="P110" i="3"/>
  <c r="P117" i="3"/>
  <c r="P109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103" i="3"/>
  <c r="P95" i="3"/>
  <c r="P101" i="3"/>
  <c r="P93" i="3"/>
  <c r="P102" i="3"/>
  <c r="P94" i="3"/>
  <c r="P100" i="3"/>
  <c r="P92" i="3"/>
  <c r="P35" i="3"/>
  <c r="P27" i="3"/>
  <c r="P33" i="3"/>
  <c r="P25" i="3"/>
  <c r="P34" i="3"/>
  <c r="P26" i="3"/>
  <c r="P15" i="3"/>
  <c r="P7" i="3"/>
  <c r="P32" i="3"/>
  <c r="P24" i="3"/>
  <c r="P99" i="3"/>
  <c r="P91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<sst xmlns="http://schemas.openxmlformats.org/spreadsheetml/2006/main" count="1618" uniqueCount="54">
  <si>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</si>
  <si>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</si>
  <si>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</si>
  <si>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</si>
  <si>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</si>
  <si>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</si>
  <si>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</si>
  <si>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</si>
  <si>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</si>
  <si>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</si>
  <si>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</si>
  <si>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</si>
  <si>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</si>
  <si>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</si>
  <si>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</si>
  <si>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</si>
  <si>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</si>
  <si>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</si>
  <si>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</si>
  <si>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</si>
  <si>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</si>
  <si>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</si>
  <si>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</si>
  <si>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</si>
  <si>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</si>
  <si>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</si>
  <si>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</si>
  <si>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</si>
  <si>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</si>
  <si>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</si>
  <si>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</si>
  <si>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</si>
  <si>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</si>
  <si>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</si>
  <si>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</si>
  <si>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</si>
  <si>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</si>
  <si>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</si>
  <si>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</si>
  <si>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</si>
  <si>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</si>
  <si>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</si>
  <si>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</si>
  <si>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</si>
  <si>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</si>
  <si>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</si>
  <si>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</si>
  <si>
    <t>PRISM
from HASS</t>
    <phoneticPr fontId="1" type="noConversion"/>
  </si>
  <si>
    <t>total-token=16
depth=3
top-k=4</t>
    <phoneticPr fontId="1" type="noConversion"/>
  </si>
  <si>
    <t>EAGLE2</t>
    <phoneticPr fontId="1" type="noConversion"/>
  </si>
  <si>
    <t>EAGLE3</t>
    <phoneticPr fontId="1" type="noConversion"/>
  </si>
  <si>
    <t>PRISM</t>
    <phoneticPr fontId="1" type="noConversion"/>
  </si>
  <si>
    <t>sHASS</t>
    <phoneticPr fontId="1" type="noConversion"/>
  </si>
  <si>
    <t>sPRISM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</si>
</sst>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  <font>
      <b/>
      <sz val="11"/>
      <color rgb="FFC00000"/>
      <name val="Times New Roman"/>
      <family val="1"/>
    </font>
    <font>
      <b/>
      <sz val="13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53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10" t="s">
        <v>17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</row>
    <row r="4" spans="1:16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10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10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10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10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10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</row>
    <row r="12" spans="1:16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10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10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10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10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10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10" t="s">
        <v>18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1:16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</row>
    <row r="22" spans="1:16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10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10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10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10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10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1:16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</row>
    <row r="30" spans="1:16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10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10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10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10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10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9" t="s">
        <v>19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</row>
    <row r="40" spans="1:16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10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10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10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10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10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</row>
    <row r="48" spans="1:16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10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10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10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10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10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9" t="s">
        <v>30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1:16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</row>
    <row r="58" spans="1:16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10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10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10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10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10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1:16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</row>
    <row r="66" spans="1:16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10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10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10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10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10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9" t="s">
        <v>29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spans="1:16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</row>
    <row r="76" spans="1:16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10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10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10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10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10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10"/>
      <c r="B82" s="11" t="s">
        <v>14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spans="1:16" ht="15" customHeight="1" x14ac:dyDescent="0.3">
      <c r="A83" s="10"/>
      <c r="B83" s="12" t="s">
        <v>0</v>
      </c>
      <c r="C83" s="12" t="s">
        <v>1</v>
      </c>
      <c r="D83" s="12"/>
      <c r="E83" s="12" t="s">
        <v>2</v>
      </c>
      <c r="F83" s="12"/>
      <c r="G83" s="12" t="s">
        <v>3</v>
      </c>
      <c r="H83" s="12"/>
      <c r="I83" s="12" t="s">
        <v>4</v>
      </c>
      <c r="J83" s="12"/>
      <c r="K83" s="12" t="s">
        <v>5</v>
      </c>
      <c r="L83" s="12"/>
      <c r="M83" s="12" t="s">
        <v>6</v>
      </c>
      <c r="N83" s="12"/>
      <c r="O83" s="12" t="s">
        <v>7</v>
      </c>
      <c r="P83" s="12"/>
    </row>
    <row r="84" spans="1:16" ht="15" customHeight="1" x14ac:dyDescent="0.3">
      <c r="A84" s="10"/>
      <c r="B84" s="13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10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10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10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10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10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9" t="s">
        <v>24</v>
      </c>
      <c r="B92" s="11" t="s">
        <v>13</v>
      </c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</row>
    <row r="93" spans="1:16" ht="15" customHeight="1" x14ac:dyDescent="0.3">
      <c r="A93" s="10"/>
      <c r="B93" s="12" t="s">
        <v>28</v>
      </c>
      <c r="C93" s="12" t="s">
        <v>1</v>
      </c>
      <c r="D93" s="12"/>
      <c r="E93" s="12" t="s">
        <v>2</v>
      </c>
      <c r="F93" s="12"/>
      <c r="G93" s="12" t="s">
        <v>3</v>
      </c>
      <c r="H93" s="12"/>
      <c r="I93" s="12" t="s">
        <v>4</v>
      </c>
      <c r="J93" s="12"/>
      <c r="K93" s="12" t="s">
        <v>5</v>
      </c>
      <c r="L93" s="12"/>
      <c r="M93" s="12" t="s">
        <v>6</v>
      </c>
      <c r="N93" s="12"/>
      <c r="O93" s="12" t="s">
        <v>7</v>
      </c>
      <c r="P93" s="12"/>
    </row>
    <row r="94" spans="1:16" ht="15" customHeight="1" x14ac:dyDescent="0.3">
      <c r="A94" s="10"/>
      <c r="B94" s="13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10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10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10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10"/>
      <c r="B98" s="11" t="s">
        <v>14</v>
      </c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1:16" ht="15" customHeight="1" x14ac:dyDescent="0.3">
      <c r="A99" s="10"/>
      <c r="B99" s="12" t="s">
        <v>28</v>
      </c>
      <c r="C99" s="12" t="s">
        <v>1</v>
      </c>
      <c r="D99" s="12"/>
      <c r="E99" s="12" t="s">
        <v>2</v>
      </c>
      <c r="F99" s="12"/>
      <c r="G99" s="12" t="s">
        <v>3</v>
      </c>
      <c r="H99" s="12"/>
      <c r="I99" s="12" t="s">
        <v>4</v>
      </c>
      <c r="J99" s="12"/>
      <c r="K99" s="12" t="s">
        <v>5</v>
      </c>
      <c r="L99" s="12"/>
      <c r="M99" s="12" t="s">
        <v>6</v>
      </c>
      <c r="N99" s="12"/>
      <c r="O99" s="12" t="s">
        <v>7</v>
      </c>
      <c r="P99" s="12"/>
    </row>
    <row r="100" spans="1:16" ht="15" customHeight="1" x14ac:dyDescent="0.3">
      <c r="A100" s="10"/>
      <c r="B100" s="13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10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10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10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9" t="s">
        <v>20</v>
      </c>
      <c r="B106" s="11" t="s">
        <v>13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</row>
    <row r="107" spans="1:16" ht="15" customHeight="1" x14ac:dyDescent="0.3">
      <c r="A107" s="10"/>
      <c r="B107" s="12" t="s">
        <v>28</v>
      </c>
      <c r="C107" s="12" t="s">
        <v>1</v>
      </c>
      <c r="D107" s="12"/>
      <c r="E107" s="12" t="s">
        <v>2</v>
      </c>
      <c r="F107" s="12"/>
      <c r="G107" s="12" t="s">
        <v>3</v>
      </c>
      <c r="H107" s="12"/>
      <c r="I107" s="12" t="s">
        <v>4</v>
      </c>
      <c r="J107" s="12"/>
      <c r="K107" s="12" t="s">
        <v>5</v>
      </c>
      <c r="L107" s="12"/>
      <c r="M107" s="12" t="s">
        <v>6</v>
      </c>
      <c r="N107" s="12"/>
      <c r="O107" s="12" t="s">
        <v>7</v>
      </c>
      <c r="P107" s="12"/>
    </row>
    <row r="108" spans="1:16" ht="15" customHeight="1" x14ac:dyDescent="0.3">
      <c r="A108" s="10"/>
      <c r="B108" s="13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10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10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10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10"/>
      <c r="B112" s="11" t="s">
        <v>14</v>
      </c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1:16" ht="15" customHeight="1" x14ac:dyDescent="0.3">
      <c r="A113" s="10"/>
      <c r="B113" s="12" t="s">
        <v>28</v>
      </c>
      <c r="C113" s="12" t="s">
        <v>1</v>
      </c>
      <c r="D113" s="12"/>
      <c r="E113" s="12" t="s">
        <v>2</v>
      </c>
      <c r="F113" s="12"/>
      <c r="G113" s="12" t="s">
        <v>3</v>
      </c>
      <c r="H113" s="12"/>
      <c r="I113" s="12" t="s">
        <v>4</v>
      </c>
      <c r="J113" s="12"/>
      <c r="K113" s="12" t="s">
        <v>5</v>
      </c>
      <c r="L113" s="12"/>
      <c r="M113" s="12" t="s">
        <v>6</v>
      </c>
      <c r="N113" s="12"/>
      <c r="O113" s="12" t="s">
        <v>7</v>
      </c>
      <c r="P113" s="12"/>
    </row>
    <row r="114" spans="1:16" ht="15" customHeight="1" x14ac:dyDescent="0.3">
      <c r="A114" s="10"/>
      <c r="B114" s="13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10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10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10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  <row r="120" spans="1:16" ht="15" customHeight="1" x14ac:dyDescent="0.3">
      <c r="A120" s="9" t="s">
        <v>38</v>
      </c>
      <c r="B120" s="11" t="s">
        <v>13</v>
      </c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1:16" ht="15" customHeight="1" x14ac:dyDescent="0.3">
      <c r="A121" s="10"/>
      <c r="B121" s="12" t="s">
        <v>0</v>
      </c>
      <c r="C121" s="12" t="s">
        <v>1</v>
      </c>
      <c r="D121" s="12"/>
      <c r="E121" s="12" t="s">
        <v>2</v>
      </c>
      <c r="F121" s="12"/>
      <c r="G121" s="12" t="s">
        <v>3</v>
      </c>
      <c r="H121" s="12"/>
      <c r="I121" s="12" t="s">
        <v>4</v>
      </c>
      <c r="J121" s="12"/>
      <c r="K121" s="12" t="s">
        <v>5</v>
      </c>
      <c r="L121" s="12"/>
      <c r="M121" s="12" t="s">
        <v>6</v>
      </c>
      <c r="N121" s="12"/>
      <c r="O121" s="12" t="s">
        <v>7</v>
      </c>
      <c r="P121" s="12"/>
    </row>
    <row r="122" spans="1:16" ht="15" customHeight="1" x14ac:dyDescent="0.3">
      <c r="A122" s="10"/>
      <c r="B122" s="13"/>
      <c r="C122" s="2" t="s">
        <v>15</v>
      </c>
      <c r="D122" s="2" t="s">
        <v>16</v>
      </c>
      <c r="E122" s="2" t="s">
        <v>15</v>
      </c>
      <c r="F122" s="2" t="s">
        <v>16</v>
      </c>
      <c r="G122" s="2" t="s">
        <v>15</v>
      </c>
      <c r="H122" s="2" t="s">
        <v>16</v>
      </c>
      <c r="I122" s="2" t="s">
        <v>15</v>
      </c>
      <c r="J122" s="2" t="s">
        <v>16</v>
      </c>
      <c r="K122" s="2" t="s">
        <v>15</v>
      </c>
      <c r="L122" s="2" t="s">
        <v>16</v>
      </c>
      <c r="M122" s="2" t="s">
        <v>15</v>
      </c>
      <c r="N122" s="2" t="s">
        <v>16</v>
      </c>
      <c r="O122" s="2" t="s">
        <v>15</v>
      </c>
      <c r="P122" s="2" t="s">
        <v>16</v>
      </c>
    </row>
    <row r="123" spans="1:16" ht="15" customHeight="1" x14ac:dyDescent="0.3">
      <c r="A123" s="10"/>
      <c r="B123" s="1" t="s">
        <v>8</v>
      </c>
      <c r="C123" s="3"/>
      <c r="D123" s="3">
        <v>5.3084199999999999</v>
      </c>
      <c r="E123" s="3"/>
      <c r="F123" s="3">
        <v>5.9846700000000004</v>
      </c>
      <c r="G123" s="3"/>
      <c r="H123" s="3">
        <v>5.3923100000000002</v>
      </c>
      <c r="I123" s="3"/>
      <c r="J123" s="3">
        <v>5.1606800000000002</v>
      </c>
      <c r="K123" s="3"/>
      <c r="L123" s="3">
        <v>5.0110099999999997</v>
      </c>
      <c r="M123" s="3"/>
      <c r="N123" s="3">
        <v>4.8119699999999996</v>
      </c>
      <c r="O123" s="3"/>
      <c r="P123" s="3">
        <f>AVERAGE(D123,F123,H123,J123,L123,N123)</f>
        <v>5.2781766666666661</v>
      </c>
    </row>
    <row r="124" spans="1:16" ht="15" customHeight="1" x14ac:dyDescent="0.3">
      <c r="A124" s="10"/>
      <c r="B124" s="1" t="s">
        <v>9</v>
      </c>
      <c r="C124" s="3"/>
      <c r="D124" s="3">
        <v>5.4507500000000002</v>
      </c>
      <c r="E124" s="3"/>
      <c r="F124" s="3">
        <v>6.1112000000000002</v>
      </c>
      <c r="G124" s="3"/>
      <c r="H124" s="3">
        <v>5.5802399999999999</v>
      </c>
      <c r="I124" s="3"/>
      <c r="J124" s="3">
        <v>5.29922</v>
      </c>
      <c r="K124" s="3"/>
      <c r="L124" s="3">
        <v>5.1404800000000002</v>
      </c>
      <c r="M124" s="3"/>
      <c r="N124" s="3">
        <v>4.9340000000000002</v>
      </c>
      <c r="O124" s="3"/>
      <c r="P124" s="3">
        <f>AVERAGE(D124,F124,H124,J124,L124,N124)</f>
        <v>5.4193150000000001</v>
      </c>
    </row>
    <row r="125" spans="1:16" ht="15" customHeight="1" x14ac:dyDescent="0.3">
      <c r="A125" s="10"/>
      <c r="B125" s="1" t="s">
        <v>10</v>
      </c>
      <c r="C125" s="3"/>
      <c r="D125" s="3">
        <v>5.5413300000000003</v>
      </c>
      <c r="E125" s="3"/>
      <c r="F125" s="3">
        <v>6.1304800000000004</v>
      </c>
      <c r="G125" s="3"/>
      <c r="H125" s="3">
        <v>5.6616900000000001</v>
      </c>
      <c r="I125" s="3"/>
      <c r="J125" s="3">
        <v>5.35581</v>
      </c>
      <c r="K125" s="3"/>
      <c r="L125" s="3">
        <v>5.2620199999999997</v>
      </c>
      <c r="M125" s="3"/>
      <c r="N125" s="3">
        <v>5.0157999999999996</v>
      </c>
      <c r="O125" s="3"/>
      <c r="P125" s="3">
        <f>AVERAGE(D125,F125,H125,J125,L125,N125)</f>
        <v>5.4945216666666665</v>
      </c>
    </row>
    <row r="126" spans="1:16" ht="15" customHeight="1" x14ac:dyDescent="0.3">
      <c r="A126" s="10"/>
      <c r="B126" s="1" t="s">
        <v>11</v>
      </c>
      <c r="C126" s="3"/>
      <c r="D126" s="3">
        <v>5.5616700000000003</v>
      </c>
      <c r="E126" s="3"/>
      <c r="F126" s="3">
        <v>6.1896599999999999</v>
      </c>
      <c r="G126" s="3"/>
      <c r="H126" s="3">
        <v>5.6893200000000004</v>
      </c>
      <c r="I126" s="3"/>
      <c r="J126" s="3">
        <v>5.3944900000000002</v>
      </c>
      <c r="K126" s="3"/>
      <c r="L126" s="3">
        <v>5.33873</v>
      </c>
      <c r="M126" s="3"/>
      <c r="N126" s="3">
        <v>5.0751200000000001</v>
      </c>
      <c r="O126" s="3"/>
      <c r="P126" s="3">
        <f>AVERAGE(D126,F126,H126,J126,L126,N126)</f>
        <v>5.5414983333333332</v>
      </c>
    </row>
    <row r="127" spans="1:16" ht="15" customHeight="1" x14ac:dyDescent="0.3">
      <c r="A127" s="10"/>
      <c r="B127" s="2" t="s">
        <v>12</v>
      </c>
      <c r="C127" s="4"/>
      <c r="D127" s="4">
        <v>5.5671099999999996</v>
      </c>
      <c r="E127" s="4"/>
      <c r="F127" s="4">
        <v>6.19611</v>
      </c>
      <c r="G127" s="4"/>
      <c r="H127" s="4">
        <v>5.7102599999999999</v>
      </c>
      <c r="I127" s="4"/>
      <c r="J127" s="4">
        <v>5.4685300000000003</v>
      </c>
      <c r="K127" s="4"/>
      <c r="L127" s="4">
        <v>5.2820099999999996</v>
      </c>
      <c r="M127" s="4"/>
      <c r="N127" s="4">
        <v>5.1318999999999999</v>
      </c>
      <c r="O127" s="4"/>
      <c r="P127" s="4">
        <f>AVERAGE(D127,F127,H127,J127,L127,N127)</f>
        <v>5.5593200000000005</v>
      </c>
    </row>
    <row r="128" spans="1:16" ht="15" customHeight="1" x14ac:dyDescent="0.3">
      <c r="A128" s="10"/>
      <c r="B128" s="11" t="s">
        <v>14</v>
      </c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</row>
    <row r="129" spans="1:16" ht="15" customHeight="1" x14ac:dyDescent="0.3">
      <c r="A129" s="10"/>
      <c r="B129" s="12" t="s">
        <v>0</v>
      </c>
      <c r="C129" s="12" t="s">
        <v>1</v>
      </c>
      <c r="D129" s="12"/>
      <c r="E129" s="12" t="s">
        <v>2</v>
      </c>
      <c r="F129" s="12"/>
      <c r="G129" s="12" t="s">
        <v>3</v>
      </c>
      <c r="H129" s="12"/>
      <c r="I129" s="12" t="s">
        <v>4</v>
      </c>
      <c r="J129" s="12"/>
      <c r="K129" s="12" t="s">
        <v>5</v>
      </c>
      <c r="L129" s="12"/>
      <c r="M129" s="12" t="s">
        <v>6</v>
      </c>
      <c r="N129" s="12"/>
      <c r="O129" s="12" t="s">
        <v>7</v>
      </c>
      <c r="P129" s="12"/>
    </row>
    <row r="130" spans="1:16" ht="15" customHeight="1" x14ac:dyDescent="0.3">
      <c r="A130" s="10"/>
      <c r="B130" s="13"/>
      <c r="C130" s="2" t="s">
        <v>15</v>
      </c>
      <c r="D130" s="2" t="s">
        <v>16</v>
      </c>
      <c r="E130" s="2" t="s">
        <v>15</v>
      </c>
      <c r="F130" s="2" t="s">
        <v>16</v>
      </c>
      <c r="G130" s="2" t="s">
        <v>15</v>
      </c>
      <c r="H130" s="2" t="s">
        <v>16</v>
      </c>
      <c r="I130" s="2" t="s">
        <v>15</v>
      </c>
      <c r="J130" s="2" t="s">
        <v>16</v>
      </c>
      <c r="K130" s="2" t="s">
        <v>15</v>
      </c>
      <c r="L130" s="2" t="s">
        <v>16</v>
      </c>
      <c r="M130" s="2" t="s">
        <v>15</v>
      </c>
      <c r="N130" s="2" t="s">
        <v>16</v>
      </c>
      <c r="O130" s="2" t="s">
        <v>15</v>
      </c>
      <c r="P130" s="2" t="s">
        <v>16</v>
      </c>
    </row>
    <row r="131" spans="1:16" ht="15" customHeight="1" x14ac:dyDescent="0.3">
      <c r="A131" s="10"/>
      <c r="B131" s="1" t="s">
        <v>8</v>
      </c>
      <c r="C131" s="3"/>
      <c r="D131" s="3">
        <v>5.0545600000000004</v>
      </c>
      <c r="E131" s="3"/>
      <c r="F131" s="3">
        <v>5.6094799999999996</v>
      </c>
      <c r="G131" s="3"/>
      <c r="H131" s="3">
        <v>5.3452900000000003</v>
      </c>
      <c r="I131" s="3"/>
      <c r="J131" s="3">
        <v>5.0238699999999996</v>
      </c>
      <c r="K131" s="3"/>
      <c r="L131" s="3">
        <v>4.70695</v>
      </c>
      <c r="M131" s="3"/>
      <c r="N131" s="3">
        <v>4.6079100000000004</v>
      </c>
      <c r="O131" s="3"/>
      <c r="P131" s="3">
        <f>AVERAGE(D131,F131,H131,J131,L131,N131)</f>
        <v>5.0580099999999995</v>
      </c>
    </row>
    <row r="132" spans="1:16" ht="15" customHeight="1" x14ac:dyDescent="0.3">
      <c r="A132" s="10"/>
      <c r="B132" s="1" t="s">
        <v>9</v>
      </c>
      <c r="C132" s="3"/>
      <c r="D132" s="3">
        <v>5.2711100000000002</v>
      </c>
      <c r="E132" s="3"/>
      <c r="F132" s="3">
        <v>5.7284899999999999</v>
      </c>
      <c r="G132" s="3"/>
      <c r="H132" s="3">
        <v>5.3707099999999999</v>
      </c>
      <c r="I132" s="3"/>
      <c r="J132" s="3">
        <v>5.1860499999999998</v>
      </c>
      <c r="K132" s="3"/>
      <c r="L132" s="3">
        <v>4.9246100000000004</v>
      </c>
      <c r="M132" s="3"/>
      <c r="N132" s="3">
        <v>4.7375800000000003</v>
      </c>
      <c r="O132" s="3"/>
      <c r="P132" s="3">
        <f>AVERAGE(D132,F132,H132,J132,L132,N132)</f>
        <v>5.2030916666666664</v>
      </c>
    </row>
    <row r="133" spans="1:16" ht="15" customHeight="1" x14ac:dyDescent="0.3">
      <c r="A133" s="10"/>
      <c r="B133" s="1" t="s">
        <v>10</v>
      </c>
      <c r="C133" s="3"/>
      <c r="D133" s="3">
        <v>5.2300300000000002</v>
      </c>
      <c r="E133" s="3"/>
      <c r="F133" s="3">
        <v>5.7807399999999998</v>
      </c>
      <c r="G133" s="3"/>
      <c r="H133" s="3">
        <v>5.6081000000000003</v>
      </c>
      <c r="I133" s="3"/>
      <c r="J133" s="3">
        <v>5.1676700000000002</v>
      </c>
      <c r="K133" s="3"/>
      <c r="L133" s="3">
        <v>5.0256100000000004</v>
      </c>
      <c r="M133" s="3"/>
      <c r="N133" s="3">
        <v>4.8696200000000003</v>
      </c>
      <c r="O133" s="3"/>
      <c r="P133" s="3">
        <f>AVERAGE(D133,F133,H133,J133,L133,N133)</f>
        <v>5.2802950000000006</v>
      </c>
    </row>
    <row r="134" spans="1:16" ht="15" customHeight="1" x14ac:dyDescent="0.3">
      <c r="A134" s="10"/>
      <c r="B134" s="1" t="s">
        <v>11</v>
      </c>
      <c r="C134" s="3"/>
      <c r="D134" s="3">
        <v>5.3484600000000002</v>
      </c>
      <c r="E134" s="3"/>
      <c r="F134" s="3">
        <v>5.7775999999999996</v>
      </c>
      <c r="G134" s="3"/>
      <c r="H134" s="3">
        <v>5.5211499999999996</v>
      </c>
      <c r="I134" s="3"/>
      <c r="J134" s="3">
        <v>5.20024</v>
      </c>
      <c r="K134" s="3"/>
      <c r="L134" s="3">
        <v>5.0918900000000002</v>
      </c>
      <c r="M134" s="3"/>
      <c r="N134" s="3">
        <v>4.9492399999999996</v>
      </c>
      <c r="O134" s="3"/>
      <c r="P134" s="3">
        <f>AVERAGE(D134,F134,H134,J134,L134,N134)</f>
        <v>5.3147633333333326</v>
      </c>
    </row>
    <row r="135" spans="1:16" ht="15" customHeight="1" x14ac:dyDescent="0.3">
      <c r="A135" s="10"/>
      <c r="B135" s="2" t="s">
        <v>12</v>
      </c>
      <c r="C135" s="4"/>
      <c r="D135" s="4">
        <v>5.3418599999999996</v>
      </c>
      <c r="E135" s="4"/>
      <c r="F135" s="4">
        <v>5.8317300000000003</v>
      </c>
      <c r="G135" s="4"/>
      <c r="H135" s="4">
        <v>5.6138399999999997</v>
      </c>
      <c r="I135" s="4"/>
      <c r="J135" s="4">
        <v>5.3025200000000003</v>
      </c>
      <c r="K135" s="4"/>
      <c r="L135" s="4">
        <v>5.0721499999999997</v>
      </c>
      <c r="M135" s="4"/>
      <c r="N135" s="4">
        <v>4.9667399999999997</v>
      </c>
      <c r="O135" s="4"/>
      <c r="P135" s="4">
        <f>AVERAGE(D135,F135,H135,J135,L135,N135)</f>
        <v>5.3548066666666676</v>
      </c>
    </row>
    <row r="138" spans="1:16" ht="15" customHeight="1" x14ac:dyDescent="0.3">
      <c r="A138" s="9" t="s">
        <v>51</v>
      </c>
      <c r="B138" s="11" t="s">
        <v>13</v>
      </c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1:16" ht="15" customHeight="1" x14ac:dyDescent="0.3">
      <c r="A139" s="10"/>
      <c r="B139" s="12" t="s">
        <v>0</v>
      </c>
      <c r="C139" s="12" t="s">
        <v>1</v>
      </c>
      <c r="D139" s="12"/>
      <c r="E139" s="12" t="s">
        <v>2</v>
      </c>
      <c r="F139" s="12"/>
      <c r="G139" s="12" t="s">
        <v>3</v>
      </c>
      <c r="H139" s="12"/>
      <c r="I139" s="12" t="s">
        <v>4</v>
      </c>
      <c r="J139" s="12"/>
      <c r="K139" s="12" t="s">
        <v>5</v>
      </c>
      <c r="L139" s="12"/>
      <c r="M139" s="12" t="s">
        <v>6</v>
      </c>
      <c r="N139" s="12"/>
      <c r="O139" s="12" t="s">
        <v>7</v>
      </c>
      <c r="P139" s="12"/>
    </row>
    <row r="140" spans="1:16" ht="15" customHeight="1" x14ac:dyDescent="0.3">
      <c r="A140" s="10"/>
      <c r="B140" s="13"/>
      <c r="C140" s="2" t="s">
        <v>15</v>
      </c>
      <c r="D140" s="2" t="s">
        <v>16</v>
      </c>
      <c r="E140" s="2" t="s">
        <v>15</v>
      </c>
      <c r="F140" s="2" t="s">
        <v>16</v>
      </c>
      <c r="G140" s="2" t="s">
        <v>15</v>
      </c>
      <c r="H140" s="2" t="s">
        <v>16</v>
      </c>
      <c r="I140" s="2" t="s">
        <v>15</v>
      </c>
      <c r="J140" s="2" t="s">
        <v>16</v>
      </c>
      <c r="K140" s="2" t="s">
        <v>15</v>
      </c>
      <c r="L140" s="2" t="s">
        <v>16</v>
      </c>
      <c r="M140" s="2" t="s">
        <v>15</v>
      </c>
      <c r="N140" s="2" t="s">
        <v>16</v>
      </c>
      <c r="O140" s="2" t="s">
        <v>15</v>
      </c>
      <c r="P140" s="2" t="s">
        <v>16</v>
      </c>
    </row>
    <row r="141" spans="1:16" ht="15" customHeight="1" x14ac:dyDescent="0.3">
      <c r="A141" s="10"/>
      <c r="B141" s="1" t="s">
        <v>31</v>
      </c>
      <c r="C141" s="3"/>
      <c r="D141" s="3">
        <v>5.3713899999999999</v>
      </c>
      <c r="E141" s="3"/>
      <c r="F141" s="3">
        <v>6.0194299999999998</v>
      </c>
      <c r="G141" s="3"/>
      <c r="H141" s="3">
        <v>5.3910799999999997</v>
      </c>
      <c r="I141" s="3"/>
      <c r="J141" s="3">
        <v>5.2080599999999997</v>
      </c>
      <c r="K141" s="3"/>
      <c r="L141" s="3">
        <v>5.0383800000000001</v>
      </c>
      <c r="M141" s="3"/>
      <c r="N141" s="3">
        <v>4.78667</v>
      </c>
      <c r="O141" s="3"/>
      <c r="P141" s="3">
        <f>AVERAGE(D141,F141,H141,J141,L141,N141)</f>
        <v>5.3025016666666671</v>
      </c>
    </row>
    <row r="142" spans="1:16" ht="15" customHeight="1" x14ac:dyDescent="0.3">
      <c r="A142" s="10"/>
      <c r="B142" s="1" t="s">
        <v>32</v>
      </c>
      <c r="C142" s="3"/>
      <c r="D142" s="3">
        <v>5.5344300000000004</v>
      </c>
      <c r="E142" s="3"/>
      <c r="F142" s="3">
        <v>6.1561000000000003</v>
      </c>
      <c r="G142" s="3"/>
      <c r="H142" s="3">
        <v>5.5279600000000002</v>
      </c>
      <c r="I142" s="3"/>
      <c r="J142" s="3">
        <v>5.4154499999999999</v>
      </c>
      <c r="K142" s="3"/>
      <c r="L142" s="3">
        <v>5.1887400000000001</v>
      </c>
      <c r="M142" s="3"/>
      <c r="N142" s="3">
        <v>5.0075000000000003</v>
      </c>
      <c r="O142" s="3"/>
      <c r="P142" s="3">
        <f>AVERAGE(D142,F142,H142,J142,L142,N142)</f>
        <v>5.4716966666666664</v>
      </c>
    </row>
    <row r="143" spans="1:16" ht="15" customHeight="1" x14ac:dyDescent="0.3">
      <c r="A143" s="10"/>
      <c r="B143" s="1" t="s">
        <v>33</v>
      </c>
      <c r="C143" s="3"/>
      <c r="D143" s="3">
        <v>5.6849999999999996</v>
      </c>
      <c r="E143" s="3"/>
      <c r="F143" s="3">
        <v>6.26755</v>
      </c>
      <c r="G143" s="3"/>
      <c r="H143" s="3">
        <v>5.7454999999999998</v>
      </c>
      <c r="I143" s="3"/>
      <c r="J143" s="3">
        <v>5.5574700000000004</v>
      </c>
      <c r="K143" s="3"/>
      <c r="L143" s="3">
        <v>5.3547799999999999</v>
      </c>
      <c r="M143" s="3"/>
      <c r="N143" s="3">
        <v>5.2196300000000004</v>
      </c>
      <c r="O143" s="3"/>
      <c r="P143" s="3">
        <f>AVERAGE(D143,F143,H143,J143,L143,N143)</f>
        <v>5.6383216666666662</v>
      </c>
    </row>
    <row r="144" spans="1:16" ht="15" customHeight="1" x14ac:dyDescent="0.3">
      <c r="A144" s="10"/>
      <c r="B144" s="1" t="s">
        <v>34</v>
      </c>
      <c r="C144" s="3"/>
      <c r="D144" s="3">
        <v>5.7656999999999998</v>
      </c>
      <c r="E144" s="3"/>
      <c r="F144" s="3">
        <v>6.2893699999999999</v>
      </c>
      <c r="G144" s="3"/>
      <c r="H144" s="3">
        <v>5.8411200000000001</v>
      </c>
      <c r="I144" s="3"/>
      <c r="J144" s="3">
        <v>5.6383700000000001</v>
      </c>
      <c r="K144" s="3"/>
      <c r="L144" s="3">
        <v>5.4586800000000002</v>
      </c>
      <c r="M144" s="3"/>
      <c r="N144" s="3">
        <v>5.2736799999999997</v>
      </c>
      <c r="O144" s="3"/>
      <c r="P144" s="3">
        <f>AVERAGE(D144,F144,H144,J144,L144,N144)</f>
        <v>5.7111533333333329</v>
      </c>
    </row>
    <row r="145" spans="1:16" ht="15" customHeight="1" x14ac:dyDescent="0.3">
      <c r="A145" s="10"/>
      <c r="B145" s="2" t="s">
        <v>35</v>
      </c>
      <c r="C145" s="4"/>
      <c r="D145" s="4">
        <v>5.7968900000000003</v>
      </c>
      <c r="E145" s="4"/>
      <c r="F145" s="4">
        <v>6.3645399999999999</v>
      </c>
      <c r="G145" s="4"/>
      <c r="H145" s="4">
        <v>5.8893199999999997</v>
      </c>
      <c r="I145" s="4"/>
      <c r="J145" s="4">
        <v>5.6879999999999997</v>
      </c>
      <c r="K145" s="4"/>
      <c r="L145" s="4">
        <v>5.5101599999999999</v>
      </c>
      <c r="M145" s="4"/>
      <c r="N145" s="4">
        <v>5.3722700000000003</v>
      </c>
      <c r="O145" s="4"/>
      <c r="P145" s="4">
        <f>AVERAGE(D145,F145,H145,J145,L145,N145)</f>
        <v>5.7701966666666662</v>
      </c>
    </row>
    <row r="146" spans="1:16" ht="15" customHeight="1" x14ac:dyDescent="0.3">
      <c r="A146" s="10"/>
      <c r="B146" s="11" t="s">
        <v>14</v>
      </c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1:16" ht="15" customHeight="1" x14ac:dyDescent="0.3">
      <c r="A147" s="10"/>
      <c r="B147" s="12" t="s">
        <v>0</v>
      </c>
      <c r="C147" s="12" t="s">
        <v>1</v>
      </c>
      <c r="D147" s="12"/>
      <c r="E147" s="12" t="s">
        <v>2</v>
      </c>
      <c r="F147" s="12"/>
      <c r="G147" s="12" t="s">
        <v>3</v>
      </c>
      <c r="H147" s="12"/>
      <c r="I147" s="12" t="s">
        <v>4</v>
      </c>
      <c r="J147" s="12"/>
      <c r="K147" s="12" t="s">
        <v>5</v>
      </c>
      <c r="L147" s="12"/>
      <c r="M147" s="12" t="s">
        <v>6</v>
      </c>
      <c r="N147" s="12"/>
      <c r="O147" s="12" t="s">
        <v>7</v>
      </c>
      <c r="P147" s="12"/>
    </row>
    <row r="148" spans="1:16" ht="15" customHeight="1" x14ac:dyDescent="0.3">
      <c r="A148" s="10"/>
      <c r="B148" s="13"/>
      <c r="C148" s="2" t="s">
        <v>15</v>
      </c>
      <c r="D148" s="2" t="s">
        <v>16</v>
      </c>
      <c r="E148" s="2" t="s">
        <v>15</v>
      </c>
      <c r="F148" s="2" t="s">
        <v>16</v>
      </c>
      <c r="G148" s="2" t="s">
        <v>15</v>
      </c>
      <c r="H148" s="2" t="s">
        <v>16</v>
      </c>
      <c r="I148" s="2" t="s">
        <v>15</v>
      </c>
      <c r="J148" s="2" t="s">
        <v>16</v>
      </c>
      <c r="K148" s="2" t="s">
        <v>15</v>
      </c>
      <c r="L148" s="2" t="s">
        <v>16</v>
      </c>
      <c r="M148" s="2" t="s">
        <v>15</v>
      </c>
      <c r="N148" s="2" t="s">
        <v>16</v>
      </c>
      <c r="O148" s="2" t="s">
        <v>15</v>
      </c>
      <c r="P148" s="2" t="s">
        <v>16</v>
      </c>
    </row>
    <row r="149" spans="1:16" ht="15" customHeight="1" x14ac:dyDescent="0.3">
      <c r="A149" s="10"/>
      <c r="B149" s="1" t="s">
        <v>31</v>
      </c>
      <c r="C149" s="3"/>
      <c r="D149" s="3">
        <v>5.1380600000000003</v>
      </c>
      <c r="E149" s="3"/>
      <c r="F149" s="3">
        <v>5.7798699999999998</v>
      </c>
      <c r="G149" s="3"/>
      <c r="H149" s="3">
        <v>5.4028099999999997</v>
      </c>
      <c r="I149" s="3"/>
      <c r="J149" s="3">
        <v>5.0453799999999998</v>
      </c>
      <c r="K149" s="3"/>
      <c r="L149" s="3">
        <v>4.7468599999999999</v>
      </c>
      <c r="M149" s="3"/>
      <c r="N149" s="3">
        <v>4.52386</v>
      </c>
      <c r="O149" s="3"/>
      <c r="P149" s="3">
        <f>AVERAGE(D149,F149,H149,J149,L149,N149)</f>
        <v>5.1061399999999999</v>
      </c>
    </row>
    <row r="150" spans="1:16" ht="15" customHeight="1" x14ac:dyDescent="0.3">
      <c r="A150" s="10"/>
      <c r="B150" s="1" t="s">
        <v>32</v>
      </c>
      <c r="C150" s="3"/>
      <c r="D150" s="3">
        <v>5.2527699999999999</v>
      </c>
      <c r="E150" s="3"/>
      <c r="F150" s="3">
        <v>5.8203399999999998</v>
      </c>
      <c r="G150" s="3"/>
      <c r="H150" s="3">
        <v>5.4510800000000001</v>
      </c>
      <c r="I150" s="3"/>
      <c r="J150" s="3">
        <v>5.2700800000000001</v>
      </c>
      <c r="K150" s="3"/>
      <c r="L150" s="3">
        <v>4.9187900000000004</v>
      </c>
      <c r="M150" s="3"/>
      <c r="N150" s="3">
        <v>4.78355</v>
      </c>
      <c r="O150" s="3"/>
      <c r="P150" s="3">
        <f>AVERAGE(D150,F150,H150,J150,L150,N150)</f>
        <v>5.249435000000001</v>
      </c>
    </row>
    <row r="151" spans="1:16" ht="15" customHeight="1" x14ac:dyDescent="0.3">
      <c r="A151" s="10"/>
      <c r="B151" s="1" t="s">
        <v>33</v>
      </c>
      <c r="C151" s="3"/>
      <c r="D151" s="3">
        <v>5.3843300000000003</v>
      </c>
      <c r="E151" s="3"/>
      <c r="F151" s="3">
        <v>5.9468800000000002</v>
      </c>
      <c r="G151" s="3"/>
      <c r="H151" s="3">
        <v>5.6490299999999998</v>
      </c>
      <c r="I151" s="3"/>
      <c r="J151" s="3">
        <v>5.4015399999999998</v>
      </c>
      <c r="K151" s="3"/>
      <c r="L151" s="3">
        <v>5.1441100000000004</v>
      </c>
      <c r="M151" s="3"/>
      <c r="N151" s="3">
        <v>4.9908999999999999</v>
      </c>
      <c r="O151" s="3"/>
      <c r="P151" s="3">
        <f>AVERAGE(D151,F151,H151,J151,L151,N151)</f>
        <v>5.4194649999999998</v>
      </c>
    </row>
    <row r="152" spans="1:16" ht="15" customHeight="1" x14ac:dyDescent="0.3">
      <c r="A152" s="10"/>
      <c r="B152" s="1" t="s">
        <v>34</v>
      </c>
      <c r="C152" s="3"/>
      <c r="D152" s="3">
        <v>5.5658099999999999</v>
      </c>
      <c r="E152" s="3"/>
      <c r="F152" s="3">
        <v>5.9458500000000001</v>
      </c>
      <c r="G152" s="3"/>
      <c r="H152" s="3">
        <v>5.7013400000000001</v>
      </c>
      <c r="I152" s="3"/>
      <c r="J152" s="3">
        <v>5.4972300000000001</v>
      </c>
      <c r="K152" s="3"/>
      <c r="L152" s="3">
        <v>5.1961000000000004</v>
      </c>
      <c r="M152" s="3"/>
      <c r="N152" s="3">
        <v>5.11693</v>
      </c>
      <c r="O152" s="3"/>
      <c r="P152" s="3">
        <f>AVERAGE(D152,F152,H152,J152,L152,N152)</f>
        <v>5.5038766666666676</v>
      </c>
    </row>
    <row r="153" spans="1:16" ht="15" customHeight="1" x14ac:dyDescent="0.3">
      <c r="A153" s="10"/>
      <c r="B153" s="2" t="s">
        <v>35</v>
      </c>
      <c r="C153" s="4"/>
      <c r="D153" s="4">
        <v>5.5848500000000003</v>
      </c>
      <c r="E153" s="4"/>
      <c r="F153" s="4">
        <v>5.9521800000000002</v>
      </c>
      <c r="G153" s="4"/>
      <c r="H153" s="4">
        <v>5.7834300000000001</v>
      </c>
      <c r="I153" s="4"/>
      <c r="J153" s="4">
        <v>5.5549999999999997</v>
      </c>
      <c r="K153" s="4"/>
      <c r="L153" s="4">
        <v>5.2787199999999999</v>
      </c>
      <c r="M153" s="4"/>
      <c r="N153" s="4">
        <v>5.1163699999999999</v>
      </c>
      <c r="O153" s="4"/>
      <c r="P153" s="4">
        <f>AVERAGE(D153,F153,H153,J153,L153,N153)</f>
        <v>5.545091666666667</v>
      </c>
    </row>
  </sheetData>
  <mergeCells count="171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  <mergeCell ref="A120:A135"/>
    <mergeCell ref="B120:P120"/>
    <mergeCell ref="B121:B122"/>
    <mergeCell ref="C121:D121"/>
    <mergeCell ref="E121:F121"/>
    <mergeCell ref="G121:H121"/>
    <mergeCell ref="I121:J121"/>
    <mergeCell ref="K121:L121"/>
    <mergeCell ref="M121:N121"/>
    <mergeCell ref="O121:P121"/>
    <mergeCell ref="B128:P128"/>
    <mergeCell ref="B129:B130"/>
    <mergeCell ref="C129:D129"/>
    <mergeCell ref="E129:F129"/>
    <mergeCell ref="G129:H129"/>
    <mergeCell ref="I129:J129"/>
    <mergeCell ref="K129:L129"/>
    <mergeCell ref="M129:N129"/>
    <mergeCell ref="O129:P129"/>
    <mergeCell ref="A138:A153"/>
    <mergeCell ref="B138:P138"/>
    <mergeCell ref="B139:B140"/>
    <mergeCell ref="C139:D139"/>
    <mergeCell ref="E139:F139"/>
    <mergeCell ref="G139:H139"/>
    <mergeCell ref="I139:J139"/>
    <mergeCell ref="K139:L139"/>
    <mergeCell ref="M139:N139"/>
    <mergeCell ref="O139:P139"/>
    <mergeCell ref="B146:P146"/>
    <mergeCell ref="B147:B148"/>
    <mergeCell ref="C147:D147"/>
    <mergeCell ref="E147:F147"/>
    <mergeCell ref="G147:H147"/>
    <mergeCell ref="I147:J147"/>
    <mergeCell ref="K147:L147"/>
    <mergeCell ref="M147:N147"/>
    <mergeCell ref="O147:P14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89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10" t="s">
        <v>17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R2" s="14" t="s">
        <v>37</v>
      </c>
      <c r="S2" s="14"/>
      <c r="T2" s="14"/>
    </row>
    <row r="3" spans="1:20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  <c r="R3" s="14"/>
      <c r="S3" s="14"/>
      <c r="T3" s="14"/>
    </row>
    <row r="4" spans="1:20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10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4"/>
      <c r="S5" s="14"/>
      <c r="T5" s="14"/>
    </row>
    <row r="6" spans="1:20" ht="15" customHeight="1" x14ac:dyDescent="0.3">
      <c r="A6" s="10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4"/>
      <c r="S6" s="14"/>
      <c r="T6" s="14"/>
    </row>
    <row r="7" spans="1:20" ht="15" customHeight="1" x14ac:dyDescent="0.3">
      <c r="A7" s="10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4"/>
      <c r="S7" s="14"/>
      <c r="T7" s="14"/>
    </row>
    <row r="8" spans="1:20" ht="15" customHeight="1" x14ac:dyDescent="0.3">
      <c r="A8" s="10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4"/>
      <c r="S8" s="14"/>
      <c r="T8" s="14"/>
    </row>
    <row r="9" spans="1:20" ht="15" customHeight="1" x14ac:dyDescent="0.3">
      <c r="A9" s="10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4"/>
      <c r="S9" s="14"/>
      <c r="T9" s="14"/>
    </row>
    <row r="10" spans="1:20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R10" s="14"/>
      <c r="S10" s="14"/>
      <c r="T10" s="14"/>
    </row>
    <row r="11" spans="1:20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  <c r="R11" s="14"/>
      <c r="S11" s="14"/>
      <c r="T11" s="14"/>
    </row>
    <row r="12" spans="1:20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10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4"/>
      <c r="S13" s="14"/>
      <c r="T13" s="14"/>
    </row>
    <row r="14" spans="1:20" ht="15" customHeight="1" x14ac:dyDescent="0.3">
      <c r="A14" s="10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4"/>
      <c r="S14" s="14"/>
      <c r="T14" s="14"/>
    </row>
    <row r="15" spans="1:20" ht="15" customHeight="1" x14ac:dyDescent="0.3">
      <c r="A15" s="10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4"/>
      <c r="S15" s="14"/>
      <c r="T15" s="14"/>
    </row>
    <row r="16" spans="1:20" ht="15" customHeight="1" x14ac:dyDescent="0.3">
      <c r="A16" s="10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4"/>
      <c r="S16" s="14"/>
      <c r="T16" s="14"/>
    </row>
    <row r="17" spans="1:20" ht="15" customHeight="1" x14ac:dyDescent="0.3">
      <c r="A17" s="10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10" t="s">
        <v>38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R20" s="14"/>
      <c r="S20" s="14"/>
      <c r="T20" s="14"/>
    </row>
    <row r="21" spans="1:20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  <c r="R21" s="14"/>
      <c r="S21" s="14"/>
      <c r="T21" s="14"/>
    </row>
    <row r="22" spans="1:20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10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4"/>
      <c r="S23" s="14"/>
      <c r="T23" s="14"/>
    </row>
    <row r="24" spans="1:20" ht="15" customHeight="1" x14ac:dyDescent="0.3">
      <c r="A24" s="10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4"/>
      <c r="S24" s="14"/>
      <c r="T24" s="14"/>
    </row>
    <row r="25" spans="1:20" ht="15" customHeight="1" x14ac:dyDescent="0.3">
      <c r="A25" s="10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4"/>
      <c r="S25" s="14"/>
      <c r="T25" s="14"/>
    </row>
    <row r="26" spans="1:20" ht="15" customHeight="1" x14ac:dyDescent="0.3">
      <c r="A26" s="10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4"/>
      <c r="S26" s="14"/>
      <c r="T26" s="14"/>
    </row>
    <row r="27" spans="1:20" ht="15" customHeight="1" x14ac:dyDescent="0.3">
      <c r="A27" s="10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4"/>
      <c r="S27" s="14"/>
      <c r="T27" s="14"/>
    </row>
    <row r="28" spans="1:20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R28" s="14"/>
      <c r="S28" s="14"/>
      <c r="T28" s="14"/>
    </row>
    <row r="29" spans="1:20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  <c r="R29" s="14"/>
      <c r="S29" s="14"/>
      <c r="T29" s="14"/>
    </row>
    <row r="30" spans="1:20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10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4"/>
      <c r="S31" s="14"/>
      <c r="T31" s="14"/>
    </row>
    <row r="32" spans="1:20" ht="15" customHeight="1" x14ac:dyDescent="0.3">
      <c r="A32" s="10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4"/>
      <c r="S32" s="14"/>
      <c r="T32" s="14"/>
    </row>
    <row r="33" spans="1:20" ht="15" customHeight="1" x14ac:dyDescent="0.3">
      <c r="A33" s="10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4"/>
      <c r="S33" s="14"/>
      <c r="T33" s="14"/>
    </row>
    <row r="34" spans="1:20" ht="15" customHeight="1" x14ac:dyDescent="0.3">
      <c r="A34" s="10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4"/>
      <c r="S34" s="14"/>
      <c r="T34" s="14"/>
    </row>
    <row r="35" spans="1:20" ht="15" customHeight="1" x14ac:dyDescent="0.3">
      <c r="A35" s="10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R37" s="14"/>
      <c r="S37" s="14"/>
      <c r="T37" s="14"/>
    </row>
    <row r="38" spans="1:20" ht="15" customHeight="1" x14ac:dyDescent="0.3">
      <c r="A38" s="9" t="s">
        <v>30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R38" s="14"/>
      <c r="S38" s="14"/>
      <c r="T38" s="14"/>
    </row>
    <row r="39" spans="1:20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  <c r="R39" s="14"/>
      <c r="S39" s="14"/>
      <c r="T39" s="14"/>
    </row>
    <row r="40" spans="1:20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10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4"/>
      <c r="S41" s="14"/>
      <c r="T41" s="14"/>
    </row>
    <row r="42" spans="1:20" ht="15" customHeight="1" x14ac:dyDescent="0.3">
      <c r="A42" s="10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4"/>
      <c r="S42" s="14"/>
      <c r="T42" s="14"/>
    </row>
    <row r="43" spans="1:20" ht="15" customHeight="1" x14ac:dyDescent="0.3">
      <c r="A43" s="10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4"/>
      <c r="S43" s="14"/>
      <c r="T43" s="14"/>
    </row>
    <row r="44" spans="1:20" ht="15" customHeight="1" x14ac:dyDescent="0.3">
      <c r="A44" s="10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4"/>
      <c r="S44" s="14"/>
      <c r="T44" s="14"/>
    </row>
    <row r="45" spans="1:20" ht="15" customHeight="1" x14ac:dyDescent="0.3">
      <c r="A45" s="10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4"/>
      <c r="S45" s="14"/>
      <c r="T45" s="14"/>
    </row>
    <row r="46" spans="1:20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R46" s="14"/>
      <c r="S46" s="14"/>
      <c r="T46" s="14"/>
    </row>
    <row r="47" spans="1:20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  <c r="R47" s="14"/>
      <c r="S47" s="14"/>
      <c r="T47" s="14"/>
    </row>
    <row r="48" spans="1:20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10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4"/>
      <c r="S49" s="14"/>
      <c r="T49" s="14"/>
    </row>
    <row r="50" spans="1:20" ht="15" customHeight="1" x14ac:dyDescent="0.3">
      <c r="A50" s="10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4"/>
      <c r="S50" s="14"/>
      <c r="T50" s="14"/>
    </row>
    <row r="51" spans="1:20" ht="15" customHeight="1" x14ac:dyDescent="0.3">
      <c r="A51" s="10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4"/>
      <c r="S51" s="14"/>
      <c r="T51" s="14"/>
    </row>
    <row r="52" spans="1:20" ht="15" customHeight="1" x14ac:dyDescent="0.3">
      <c r="A52" s="10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4"/>
      <c r="S52" s="14"/>
      <c r="T52" s="14"/>
    </row>
    <row r="53" spans="1:20" ht="15" customHeight="1" x14ac:dyDescent="0.3">
      <c r="A53" s="10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4"/>
      <c r="S53" s="14"/>
      <c r="T53" s="14"/>
    </row>
    <row r="54" spans="1:20" ht="15" customHeight="1" x14ac:dyDescent="0.3">
      <c r="R54" s="14"/>
      <c r="S54" s="14"/>
      <c r="T54" s="14"/>
    </row>
    <row r="55" spans="1:20" ht="15" customHeight="1" x14ac:dyDescent="0.3">
      <c r="R55" s="14"/>
      <c r="S55" s="14"/>
      <c r="T55" s="14"/>
    </row>
    <row r="56" spans="1:20" ht="15" customHeight="1" x14ac:dyDescent="0.3">
      <c r="A56" s="9" t="s">
        <v>39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R56" s="14"/>
      <c r="S56" s="14"/>
      <c r="T56" s="14"/>
    </row>
    <row r="57" spans="1:20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  <c r="R57" s="14"/>
      <c r="S57" s="14"/>
      <c r="T57" s="14"/>
    </row>
    <row r="58" spans="1:20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10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4"/>
      <c r="S59" s="14"/>
      <c r="T59" s="14"/>
    </row>
    <row r="60" spans="1:20" ht="15" customHeight="1" x14ac:dyDescent="0.3">
      <c r="A60" s="10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4"/>
      <c r="S60" s="14"/>
      <c r="T60" s="14"/>
    </row>
    <row r="61" spans="1:20" ht="15" customHeight="1" x14ac:dyDescent="0.3">
      <c r="A61" s="10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4"/>
      <c r="S61" s="14"/>
      <c r="T61" s="14"/>
    </row>
    <row r="62" spans="1:20" ht="15" customHeight="1" x14ac:dyDescent="0.3">
      <c r="A62" s="10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4"/>
      <c r="S62" s="14"/>
      <c r="T62" s="14"/>
    </row>
    <row r="63" spans="1:20" ht="15" customHeight="1" x14ac:dyDescent="0.3">
      <c r="A63" s="10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4"/>
      <c r="S63" s="14"/>
      <c r="T63" s="14"/>
    </row>
    <row r="64" spans="1:20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R64" s="14"/>
      <c r="S64" s="14"/>
      <c r="T64" s="14"/>
    </row>
    <row r="65" spans="1:20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  <c r="R65" s="14"/>
      <c r="S65" s="14"/>
      <c r="T65" s="14"/>
    </row>
    <row r="66" spans="1:20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4"/>
      <c r="S66" s="14"/>
      <c r="T66" s="14"/>
    </row>
    <row r="67" spans="1:20" ht="15" customHeight="1" x14ac:dyDescent="0.3">
      <c r="A67" s="10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4"/>
      <c r="S67" s="14"/>
      <c r="T67" s="14"/>
    </row>
    <row r="68" spans="1:20" ht="15" customHeight="1" x14ac:dyDescent="0.3">
      <c r="A68" s="10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4"/>
      <c r="S68" s="14"/>
      <c r="T68" s="14"/>
    </row>
    <row r="69" spans="1:20" ht="15" customHeight="1" x14ac:dyDescent="0.3">
      <c r="A69" s="10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4"/>
      <c r="S69" s="14"/>
      <c r="T69" s="14"/>
    </row>
    <row r="70" spans="1:20" ht="15" customHeight="1" x14ac:dyDescent="0.3">
      <c r="A70" s="10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4"/>
      <c r="S70" s="14"/>
      <c r="T70" s="14"/>
    </row>
    <row r="71" spans="1:20" ht="15" customHeight="1" x14ac:dyDescent="0.3">
      <c r="A71" s="10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4"/>
      <c r="S71" s="14"/>
      <c r="T71" s="14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  <row r="74" spans="1:20" ht="15" customHeight="1" x14ac:dyDescent="0.3">
      <c r="A74" s="9" t="s">
        <v>47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  <row r="75" spans="1:20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</row>
    <row r="76" spans="1:20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20" ht="15" customHeight="1" x14ac:dyDescent="0.3">
      <c r="A77" s="10"/>
      <c r="B77" s="1" t="s">
        <v>31</v>
      </c>
      <c r="C77" s="3"/>
      <c r="D77" s="3">
        <v>5.5220399999999996</v>
      </c>
      <c r="E77" s="3"/>
      <c r="F77" s="3">
        <v>6.9964899999999997</v>
      </c>
      <c r="G77" s="3"/>
      <c r="H77" s="3">
        <v>6.54542</v>
      </c>
      <c r="I77" s="3"/>
      <c r="J77" s="3">
        <v>5.6508099999999999</v>
      </c>
      <c r="K77" s="3"/>
      <c r="L77" s="3">
        <v>5.1178100000000004</v>
      </c>
      <c r="M77" s="3"/>
      <c r="N77" s="3">
        <v>4.4133100000000001</v>
      </c>
      <c r="O77" s="3"/>
      <c r="P77" s="3">
        <f>AVERAGE(D77,F77,H77,J77,L77,N77)</f>
        <v>5.7076466666666663</v>
      </c>
    </row>
    <row r="78" spans="1:20" ht="15" customHeight="1" x14ac:dyDescent="0.3">
      <c r="A78" s="10"/>
      <c r="B78" s="1" t="s">
        <v>32</v>
      </c>
      <c r="C78" s="3"/>
      <c r="D78" s="3">
        <v>5.7255799999999999</v>
      </c>
      <c r="E78" s="3"/>
      <c r="F78" s="3">
        <v>7.1998300000000004</v>
      </c>
      <c r="G78" s="3"/>
      <c r="H78" s="3">
        <v>6.7830500000000002</v>
      </c>
      <c r="I78" s="3"/>
      <c r="J78" s="3">
        <v>5.8335900000000001</v>
      </c>
      <c r="K78" s="3"/>
      <c r="L78" s="3">
        <v>5.4020400000000004</v>
      </c>
      <c r="M78" s="3"/>
      <c r="N78" s="3">
        <v>4.5986900000000004</v>
      </c>
      <c r="O78" s="3"/>
      <c r="P78" s="3">
        <f>AVERAGE(D78,F78,H78,J78,L78,N78)</f>
        <v>5.923796666666667</v>
      </c>
    </row>
    <row r="79" spans="1:20" ht="15" customHeight="1" x14ac:dyDescent="0.3">
      <c r="A79" s="10"/>
      <c r="B79" s="1" t="s">
        <v>33</v>
      </c>
      <c r="C79" s="3"/>
      <c r="D79" s="3">
        <v>5.9523999999999999</v>
      </c>
      <c r="E79" s="3"/>
      <c r="F79" s="3">
        <v>7.4973299999999998</v>
      </c>
      <c r="G79" s="3"/>
      <c r="H79" s="3">
        <v>6.9494199999999999</v>
      </c>
      <c r="I79" s="3"/>
      <c r="J79" s="3">
        <v>6.1371000000000002</v>
      </c>
      <c r="K79" s="3"/>
      <c r="L79" s="3">
        <v>5.6459799999999998</v>
      </c>
      <c r="M79" s="3"/>
      <c r="N79" s="3">
        <v>4.7589899999999998</v>
      </c>
      <c r="O79" s="3"/>
      <c r="P79" s="3">
        <f>AVERAGE(D79,F79,H79,J79,L79,N79)</f>
        <v>6.1568699999999987</v>
      </c>
    </row>
    <row r="80" spans="1:20" ht="15" customHeight="1" x14ac:dyDescent="0.3">
      <c r="A80" s="10"/>
      <c r="B80" s="1" t="s">
        <v>34</v>
      </c>
      <c r="C80" s="3"/>
      <c r="D80" s="3">
        <v>6.09992</v>
      </c>
      <c r="E80" s="3"/>
      <c r="F80" s="3">
        <v>7.6119700000000003</v>
      </c>
      <c r="G80" s="3"/>
      <c r="H80" s="3">
        <v>7.1602199999999998</v>
      </c>
      <c r="I80" s="3"/>
      <c r="J80" s="3">
        <v>6.3007499999999999</v>
      </c>
      <c r="K80" s="3"/>
      <c r="L80" s="3">
        <v>5.7742199999999997</v>
      </c>
      <c r="M80" s="3"/>
      <c r="N80" s="3">
        <v>4.8783399999999997</v>
      </c>
      <c r="O80" s="3"/>
      <c r="P80" s="3">
        <f>AVERAGE(D80,F80,H80,J80,L80,N80)</f>
        <v>6.3042366666666672</v>
      </c>
    </row>
    <row r="81" spans="1:16" ht="15" customHeight="1" x14ac:dyDescent="0.3">
      <c r="A81" s="10"/>
      <c r="B81" s="2" t="s">
        <v>35</v>
      </c>
      <c r="C81" s="4"/>
      <c r="D81" s="4">
        <v>6.1384100000000004</v>
      </c>
      <c r="E81" s="4"/>
      <c r="F81" s="4">
        <v>7.5655200000000002</v>
      </c>
      <c r="G81" s="4"/>
      <c r="H81" s="4">
        <v>7.27156</v>
      </c>
      <c r="I81" s="4"/>
      <c r="J81" s="4">
        <v>6.3005899999999997</v>
      </c>
      <c r="K81" s="4"/>
      <c r="L81" s="4">
        <v>5.82369</v>
      </c>
      <c r="M81" s="4"/>
      <c r="N81" s="4">
        <v>4.9643600000000001</v>
      </c>
      <c r="O81" s="4"/>
      <c r="P81" s="4">
        <f>AVERAGE(D81,F81,H81,J81,L81,N81)</f>
        <v>6.3440216666666664</v>
      </c>
    </row>
    <row r="82" spans="1:16" ht="15" customHeight="1" x14ac:dyDescent="0.3">
      <c r="A82" s="10"/>
      <c r="B82" s="11" t="s">
        <v>14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</row>
    <row r="83" spans="1:16" ht="15" customHeight="1" x14ac:dyDescent="0.3">
      <c r="A83" s="10"/>
      <c r="B83" s="12" t="s">
        <v>0</v>
      </c>
      <c r="C83" s="12" t="s">
        <v>1</v>
      </c>
      <c r="D83" s="12"/>
      <c r="E83" s="12" t="s">
        <v>2</v>
      </c>
      <c r="F83" s="12"/>
      <c r="G83" s="12" t="s">
        <v>3</v>
      </c>
      <c r="H83" s="12"/>
      <c r="I83" s="12" t="s">
        <v>4</v>
      </c>
      <c r="J83" s="12"/>
      <c r="K83" s="12" t="s">
        <v>5</v>
      </c>
      <c r="L83" s="12"/>
      <c r="M83" s="12" t="s">
        <v>6</v>
      </c>
      <c r="N83" s="12"/>
      <c r="O83" s="12" t="s">
        <v>7</v>
      </c>
      <c r="P83" s="12"/>
    </row>
    <row r="84" spans="1:16" ht="15" customHeight="1" x14ac:dyDescent="0.3">
      <c r="A84" s="10"/>
      <c r="B84" s="13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10"/>
      <c r="B85" s="1" t="s">
        <v>31</v>
      </c>
      <c r="C85" s="3"/>
      <c r="D85" s="3">
        <v>4.9509299999999996</v>
      </c>
      <c r="E85" s="3"/>
      <c r="F85" s="3">
        <v>6.5409800000000002</v>
      </c>
      <c r="G85" s="3"/>
      <c r="H85" s="3">
        <v>6.1789199999999997</v>
      </c>
      <c r="I85" s="3"/>
      <c r="J85" s="3">
        <v>5.19</v>
      </c>
      <c r="K85" s="3"/>
      <c r="L85" s="3">
        <v>4.6705500000000004</v>
      </c>
      <c r="M85" s="3"/>
      <c r="N85" s="3">
        <v>4.0139300000000002</v>
      </c>
      <c r="O85" s="3"/>
      <c r="P85" s="3">
        <f>AVERAGE(D85,F85,H85,J85,L85,N85)</f>
        <v>5.257551666666668</v>
      </c>
    </row>
    <row r="86" spans="1:16" ht="15" customHeight="1" x14ac:dyDescent="0.3">
      <c r="A86" s="10"/>
      <c r="B86" s="1" t="s">
        <v>32</v>
      </c>
      <c r="C86" s="3"/>
      <c r="D86" s="3">
        <v>5.1339100000000002</v>
      </c>
      <c r="E86" s="3"/>
      <c r="F86" s="3">
        <v>6.6997200000000001</v>
      </c>
      <c r="G86" s="3"/>
      <c r="H86" s="3">
        <v>6.3095100000000004</v>
      </c>
      <c r="I86" s="3"/>
      <c r="J86" s="3">
        <v>5.3921700000000001</v>
      </c>
      <c r="K86" s="3"/>
      <c r="L86" s="3">
        <v>4.7391899999999998</v>
      </c>
      <c r="M86" s="3"/>
      <c r="N86" s="3">
        <v>4.2642600000000002</v>
      </c>
      <c r="O86" s="3"/>
      <c r="P86" s="3">
        <f>AVERAGE(D86,F86,H86,J86,L86,N86)</f>
        <v>5.4231266666666658</v>
      </c>
    </row>
    <row r="87" spans="1:16" ht="15" customHeight="1" x14ac:dyDescent="0.3">
      <c r="A87" s="10"/>
      <c r="B87" s="1" t="s">
        <v>33</v>
      </c>
      <c r="C87" s="3"/>
      <c r="D87" s="3">
        <v>5.3834299999999997</v>
      </c>
      <c r="E87" s="3"/>
      <c r="F87" s="3">
        <v>6.9919500000000001</v>
      </c>
      <c r="G87" s="3"/>
      <c r="H87" s="3">
        <v>6.6197800000000004</v>
      </c>
      <c r="I87" s="3"/>
      <c r="J87" s="3">
        <v>5.5469200000000001</v>
      </c>
      <c r="K87" s="3"/>
      <c r="L87" s="3">
        <v>5.0340600000000002</v>
      </c>
      <c r="M87" s="3"/>
      <c r="N87" s="3">
        <v>4.3357999999999999</v>
      </c>
      <c r="O87" s="3"/>
      <c r="P87" s="3">
        <f>AVERAGE(D87,F87,H87,J87,L87,N87)</f>
        <v>5.6519900000000005</v>
      </c>
    </row>
    <row r="88" spans="1:16" ht="15" customHeight="1" x14ac:dyDescent="0.3">
      <c r="A88" s="10"/>
      <c r="B88" s="1" t="s">
        <v>34</v>
      </c>
      <c r="C88" s="3"/>
      <c r="D88" s="3">
        <v>5.4582300000000004</v>
      </c>
      <c r="E88" s="3"/>
      <c r="F88" s="3">
        <v>7.0065799999999996</v>
      </c>
      <c r="G88" s="3"/>
      <c r="H88" s="3">
        <v>6.8334700000000002</v>
      </c>
      <c r="I88" s="3"/>
      <c r="J88" s="3">
        <v>5.6489799999999999</v>
      </c>
      <c r="K88" s="3"/>
      <c r="L88" s="3">
        <v>5.1306500000000002</v>
      </c>
      <c r="M88" s="3"/>
      <c r="N88" s="3">
        <v>4.4939499999999999</v>
      </c>
      <c r="O88" s="3"/>
      <c r="P88" s="3">
        <f>AVERAGE(D88,F88,H88,J88,L88,N88)</f>
        <v>5.7619766666666665</v>
      </c>
    </row>
    <row r="89" spans="1:16" ht="15" customHeight="1" x14ac:dyDescent="0.3">
      <c r="A89" s="10"/>
      <c r="B89" s="2" t="s">
        <v>35</v>
      </c>
      <c r="C89" s="4"/>
      <c r="D89" s="4">
        <v>5.4510300000000003</v>
      </c>
      <c r="E89" s="4"/>
      <c r="F89" s="4">
        <v>7.1321500000000002</v>
      </c>
      <c r="G89" s="4"/>
      <c r="H89" s="4">
        <v>6.8049299999999997</v>
      </c>
      <c r="I89" s="4"/>
      <c r="J89" s="4">
        <v>5.7448199999999998</v>
      </c>
      <c r="K89" s="4"/>
      <c r="L89" s="4">
        <v>5.2659399999999996</v>
      </c>
      <c r="M89" s="4"/>
      <c r="N89" s="4">
        <v>4.3027300000000004</v>
      </c>
      <c r="O89" s="4"/>
      <c r="P89" s="4">
        <f>AVERAGE(D89,F89,H89,J89,L89,N89)</f>
        <v>5.7835999999999999</v>
      </c>
    </row>
  </sheetData>
  <mergeCells count="96">
    <mergeCell ref="K83:L83"/>
    <mergeCell ref="M83:N83"/>
    <mergeCell ref="O83:P83"/>
    <mergeCell ref="A74:A89"/>
    <mergeCell ref="B74:P74"/>
    <mergeCell ref="B75:B76"/>
    <mergeCell ref="C75:D75"/>
    <mergeCell ref="E75:F75"/>
    <mergeCell ref="G75:H75"/>
    <mergeCell ref="I75:J75"/>
    <mergeCell ref="K75:L75"/>
    <mergeCell ref="M75:N75"/>
    <mergeCell ref="O75:P75"/>
    <mergeCell ref="B82:P82"/>
    <mergeCell ref="B83:B84"/>
    <mergeCell ref="C83:D83"/>
    <mergeCell ref="E83:F83"/>
    <mergeCell ref="G83:H83"/>
    <mergeCell ref="I83:J8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211"/>
  <sheetViews>
    <sheetView tabSelected="1" topLeftCell="A123" zoomScaleNormal="100" workbookViewId="0">
      <selection activeCell="D165" sqref="D165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10" t="s">
        <v>49</v>
      </c>
      <c r="B2" s="11" t="s">
        <v>13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R2" s="15" t="s">
        <v>36</v>
      </c>
      <c r="S2" s="15"/>
      <c r="T2" s="15"/>
    </row>
    <row r="3" spans="1:20" ht="15" customHeight="1" x14ac:dyDescent="0.3">
      <c r="A3" s="10"/>
      <c r="B3" s="12" t="s">
        <v>0</v>
      </c>
      <c r="C3" s="12" t="s">
        <v>1</v>
      </c>
      <c r="D3" s="12"/>
      <c r="E3" s="12" t="s">
        <v>2</v>
      </c>
      <c r="F3" s="12"/>
      <c r="G3" s="12" t="s">
        <v>3</v>
      </c>
      <c r="H3" s="12"/>
      <c r="I3" s="12" t="s">
        <v>4</v>
      </c>
      <c r="J3" s="12"/>
      <c r="K3" s="12" t="s">
        <v>5</v>
      </c>
      <c r="L3" s="12"/>
      <c r="M3" s="12" t="s">
        <v>6</v>
      </c>
      <c r="N3" s="12"/>
      <c r="O3" s="12" t="s">
        <v>7</v>
      </c>
      <c r="P3" s="12"/>
      <c r="R3" s="15"/>
      <c r="S3" s="15"/>
      <c r="T3" s="15"/>
    </row>
    <row r="4" spans="1:20" ht="15" customHeight="1" x14ac:dyDescent="0.3">
      <c r="A4" s="10"/>
      <c r="B4" s="13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5"/>
      <c r="S4" s="15"/>
      <c r="T4" s="15"/>
    </row>
    <row r="5" spans="1:20" ht="15" customHeight="1" x14ac:dyDescent="0.3">
      <c r="A5" s="10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7"/>
      <c r="S5" s="7"/>
      <c r="T5" s="7"/>
    </row>
    <row r="6" spans="1:20" ht="15" customHeight="1" x14ac:dyDescent="0.3">
      <c r="A6" s="10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7"/>
      <c r="S6" s="7"/>
      <c r="T6" s="7"/>
    </row>
    <row r="7" spans="1:20" ht="15" customHeight="1" x14ac:dyDescent="0.3">
      <c r="A7" s="10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7"/>
      <c r="S7" s="7"/>
      <c r="T7" s="7"/>
    </row>
    <row r="8" spans="1:20" ht="15" customHeight="1" x14ac:dyDescent="0.3">
      <c r="A8" s="10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7"/>
      <c r="S8" s="7"/>
      <c r="T8" s="7"/>
    </row>
    <row r="9" spans="1:20" ht="15" customHeight="1" x14ac:dyDescent="0.3">
      <c r="A9" s="10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7"/>
      <c r="S9" s="7"/>
      <c r="T9" s="7"/>
    </row>
    <row r="10" spans="1:20" ht="15" customHeight="1" x14ac:dyDescent="0.3">
      <c r="A10" s="10"/>
      <c r="B10" s="11" t="s">
        <v>14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R10" s="7"/>
      <c r="S10" s="7"/>
      <c r="T10" s="7"/>
    </row>
    <row r="11" spans="1:20" ht="15" customHeight="1" x14ac:dyDescent="0.3">
      <c r="A11" s="10"/>
      <c r="B11" s="12" t="s">
        <v>0</v>
      </c>
      <c r="C11" s="12" t="s">
        <v>1</v>
      </c>
      <c r="D11" s="12"/>
      <c r="E11" s="12" t="s">
        <v>2</v>
      </c>
      <c r="F11" s="12"/>
      <c r="G11" s="12" t="s">
        <v>3</v>
      </c>
      <c r="H11" s="12"/>
      <c r="I11" s="12" t="s">
        <v>4</v>
      </c>
      <c r="J11" s="12"/>
      <c r="K11" s="12" t="s">
        <v>5</v>
      </c>
      <c r="L11" s="12"/>
      <c r="M11" s="12" t="s">
        <v>6</v>
      </c>
      <c r="N11" s="12"/>
      <c r="O11" s="12" t="s">
        <v>7</v>
      </c>
      <c r="P11" s="12"/>
      <c r="R11" s="7"/>
      <c r="S11" s="7"/>
      <c r="T11" s="7"/>
    </row>
    <row r="12" spans="1:20" ht="15" customHeight="1" x14ac:dyDescent="0.3">
      <c r="A12" s="10"/>
      <c r="B12" s="13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7"/>
      <c r="S12" s="7"/>
      <c r="T12" s="7"/>
    </row>
    <row r="13" spans="1:20" ht="15" customHeight="1" x14ac:dyDescent="0.3">
      <c r="A13" s="10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7"/>
      <c r="S13" s="7"/>
      <c r="T13" s="7"/>
    </row>
    <row r="14" spans="1:20" ht="15" customHeight="1" x14ac:dyDescent="0.3">
      <c r="A14" s="10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7"/>
      <c r="S14" s="7"/>
      <c r="T14" s="7"/>
    </row>
    <row r="15" spans="1:20" ht="15" customHeight="1" x14ac:dyDescent="0.3">
      <c r="A15" s="10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7"/>
      <c r="S15" s="7"/>
      <c r="T15" s="7"/>
    </row>
    <row r="16" spans="1:20" ht="15" customHeight="1" x14ac:dyDescent="0.3">
      <c r="A16" s="10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7"/>
      <c r="S16" s="7"/>
      <c r="T16" s="7"/>
    </row>
    <row r="17" spans="1:20" ht="15" customHeight="1" x14ac:dyDescent="0.3">
      <c r="A17" s="10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7"/>
      <c r="S17" s="7"/>
      <c r="T17" s="7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7"/>
      <c r="S18" s="7"/>
      <c r="T18" s="7"/>
    </row>
    <row r="19" spans="1:20" ht="15" customHeight="1" x14ac:dyDescent="0.3">
      <c r="R19" s="7"/>
      <c r="S19" s="7"/>
      <c r="T19" s="7"/>
    </row>
    <row r="20" spans="1:20" ht="15" customHeight="1" x14ac:dyDescent="0.3">
      <c r="A20" s="10" t="s">
        <v>18</v>
      </c>
      <c r="B20" s="11" t="s">
        <v>13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R20" s="7"/>
      <c r="S20" s="7"/>
      <c r="T20" s="7"/>
    </row>
    <row r="21" spans="1:20" ht="15" customHeight="1" x14ac:dyDescent="0.3">
      <c r="A21" s="10"/>
      <c r="B21" s="12" t="s">
        <v>0</v>
      </c>
      <c r="C21" s="12" t="s">
        <v>1</v>
      </c>
      <c r="D21" s="12"/>
      <c r="E21" s="12" t="s">
        <v>2</v>
      </c>
      <c r="F21" s="12"/>
      <c r="G21" s="12" t="s">
        <v>3</v>
      </c>
      <c r="H21" s="12"/>
      <c r="I21" s="12" t="s">
        <v>4</v>
      </c>
      <c r="J21" s="12"/>
      <c r="K21" s="12" t="s">
        <v>5</v>
      </c>
      <c r="L21" s="12"/>
      <c r="M21" s="12" t="s">
        <v>6</v>
      </c>
      <c r="N21" s="12"/>
      <c r="O21" s="12" t="s">
        <v>7</v>
      </c>
      <c r="P21" s="12"/>
      <c r="R21" s="7"/>
      <c r="S21" s="7"/>
      <c r="T21" s="7"/>
    </row>
    <row r="22" spans="1:20" ht="15" customHeight="1" x14ac:dyDescent="0.3">
      <c r="A22" s="10"/>
      <c r="B22" s="13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7"/>
      <c r="S22" s="7"/>
      <c r="T22" s="7"/>
    </row>
    <row r="23" spans="1:20" ht="15" customHeight="1" x14ac:dyDescent="0.3">
      <c r="A23" s="10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7"/>
      <c r="S23" s="7"/>
      <c r="T23" s="7"/>
    </row>
    <row r="24" spans="1:20" ht="15" customHeight="1" x14ac:dyDescent="0.3">
      <c r="A24" s="10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7"/>
      <c r="S24" s="7"/>
      <c r="T24" s="7"/>
    </row>
    <row r="25" spans="1:20" ht="15" customHeight="1" x14ac:dyDescent="0.3">
      <c r="A25" s="10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7"/>
      <c r="S25" s="7"/>
      <c r="T25" s="7"/>
    </row>
    <row r="26" spans="1:20" ht="15" customHeight="1" x14ac:dyDescent="0.3">
      <c r="A26" s="10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7"/>
      <c r="S26" s="7"/>
      <c r="T26" s="7"/>
    </row>
    <row r="27" spans="1:20" ht="15" customHeight="1" x14ac:dyDescent="0.3">
      <c r="A27" s="10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7"/>
      <c r="S27" s="7"/>
      <c r="T27" s="7"/>
    </row>
    <row r="28" spans="1:20" ht="15" customHeight="1" x14ac:dyDescent="0.3">
      <c r="A28" s="10"/>
      <c r="B28" s="11" t="s">
        <v>14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R28" s="7"/>
      <c r="S28" s="7"/>
      <c r="T28" s="7"/>
    </row>
    <row r="29" spans="1:20" ht="15" customHeight="1" x14ac:dyDescent="0.3">
      <c r="A29" s="10"/>
      <c r="B29" s="12" t="s">
        <v>0</v>
      </c>
      <c r="C29" s="12" t="s">
        <v>1</v>
      </c>
      <c r="D29" s="12"/>
      <c r="E29" s="12" t="s">
        <v>2</v>
      </c>
      <c r="F29" s="12"/>
      <c r="G29" s="12" t="s">
        <v>3</v>
      </c>
      <c r="H29" s="12"/>
      <c r="I29" s="12" t="s">
        <v>4</v>
      </c>
      <c r="J29" s="12"/>
      <c r="K29" s="12" t="s">
        <v>5</v>
      </c>
      <c r="L29" s="12"/>
      <c r="M29" s="12" t="s">
        <v>6</v>
      </c>
      <c r="N29" s="12"/>
      <c r="O29" s="12" t="s">
        <v>7</v>
      </c>
      <c r="P29" s="12"/>
      <c r="R29" s="7"/>
      <c r="S29" s="7"/>
      <c r="T29" s="7"/>
    </row>
    <row r="30" spans="1:20" ht="15" customHeight="1" x14ac:dyDescent="0.3">
      <c r="A30" s="10"/>
      <c r="B30" s="13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7"/>
      <c r="S30" s="7"/>
      <c r="T30" s="7"/>
    </row>
    <row r="31" spans="1:20" ht="15" customHeight="1" x14ac:dyDescent="0.3">
      <c r="A31" s="10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7"/>
      <c r="S31" s="7"/>
      <c r="T31" s="7"/>
    </row>
    <row r="32" spans="1:20" ht="15" customHeight="1" x14ac:dyDescent="0.3">
      <c r="A32" s="10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7"/>
      <c r="S32" s="7"/>
      <c r="T32" s="7"/>
    </row>
    <row r="33" spans="1:20" ht="15" customHeight="1" x14ac:dyDescent="0.3">
      <c r="A33" s="10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7"/>
      <c r="S33" s="7"/>
      <c r="T33" s="7"/>
    </row>
    <row r="34" spans="1:20" ht="15" customHeight="1" x14ac:dyDescent="0.3">
      <c r="A34" s="10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7"/>
      <c r="S34" s="7"/>
      <c r="T34" s="7"/>
    </row>
    <row r="35" spans="1:20" ht="15" customHeight="1" x14ac:dyDescent="0.3">
      <c r="A35" s="10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7"/>
      <c r="S35" s="7"/>
      <c r="T35" s="7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7"/>
      <c r="S36" s="7"/>
      <c r="T36" s="7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7"/>
      <c r="S37" s="7"/>
      <c r="T37" s="7"/>
    </row>
    <row r="38" spans="1:20" ht="15" customHeight="1" x14ac:dyDescent="0.3">
      <c r="A38" s="10" t="s">
        <v>19</v>
      </c>
      <c r="B38" s="11" t="s">
        <v>13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R38" s="7"/>
      <c r="S38" s="7"/>
      <c r="T38" s="7"/>
    </row>
    <row r="39" spans="1:20" ht="15" customHeight="1" x14ac:dyDescent="0.3">
      <c r="A39" s="10"/>
      <c r="B39" s="12" t="s">
        <v>0</v>
      </c>
      <c r="C39" s="12" t="s">
        <v>1</v>
      </c>
      <c r="D39" s="12"/>
      <c r="E39" s="12" t="s">
        <v>2</v>
      </c>
      <c r="F39" s="12"/>
      <c r="G39" s="12" t="s">
        <v>3</v>
      </c>
      <c r="H39" s="12"/>
      <c r="I39" s="12" t="s">
        <v>4</v>
      </c>
      <c r="J39" s="12"/>
      <c r="K39" s="12" t="s">
        <v>5</v>
      </c>
      <c r="L39" s="12"/>
      <c r="M39" s="12" t="s">
        <v>6</v>
      </c>
      <c r="N39" s="12"/>
      <c r="O39" s="12" t="s">
        <v>7</v>
      </c>
      <c r="P39" s="12"/>
      <c r="R39" s="7"/>
      <c r="S39" s="7"/>
      <c r="T39" s="7"/>
    </row>
    <row r="40" spans="1:20" ht="15" customHeight="1" x14ac:dyDescent="0.3">
      <c r="A40" s="10"/>
      <c r="B40" s="13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7"/>
      <c r="S40" s="7"/>
      <c r="T40" s="7"/>
    </row>
    <row r="41" spans="1:20" ht="15" customHeight="1" x14ac:dyDescent="0.3">
      <c r="A41" s="10"/>
      <c r="B41" s="1" t="s">
        <v>8</v>
      </c>
      <c r="C41" s="3"/>
      <c r="D41" s="3">
        <v>4.4246600000000003</v>
      </c>
      <c r="E41" s="3"/>
      <c r="F41" s="3">
        <v>5.2936300000000003</v>
      </c>
      <c r="G41" s="3"/>
      <c r="H41" s="3">
        <v>5.0303100000000001</v>
      </c>
      <c r="I41" s="3"/>
      <c r="J41" s="3">
        <v>4.6042699999999996</v>
      </c>
      <c r="K41" s="3"/>
      <c r="L41" s="3">
        <v>4.0099400000000003</v>
      </c>
      <c r="M41" s="3"/>
      <c r="N41" s="3">
        <v>3.56975</v>
      </c>
      <c r="O41" s="3"/>
      <c r="P41" s="3">
        <f>AVERAGE(D41,F41,H41,J41,L41,N41)</f>
        <v>4.4887600000000001</v>
      </c>
      <c r="R41" s="7"/>
      <c r="S41" s="7"/>
      <c r="T41" s="7"/>
    </row>
    <row r="42" spans="1:20" ht="15" customHeight="1" x14ac:dyDescent="0.3">
      <c r="A42" s="10"/>
      <c r="B42" s="1" t="s">
        <v>9</v>
      </c>
      <c r="C42" s="3"/>
      <c r="D42" s="3">
        <v>4.6986999999999997</v>
      </c>
      <c r="E42" s="3"/>
      <c r="F42" s="3">
        <v>5.6137300000000003</v>
      </c>
      <c r="G42" s="3"/>
      <c r="H42" s="3">
        <v>5.3724999999999996</v>
      </c>
      <c r="I42" s="3"/>
      <c r="J42" s="3">
        <v>4.8760899999999996</v>
      </c>
      <c r="K42" s="3"/>
      <c r="L42" s="3">
        <v>4.3469600000000002</v>
      </c>
      <c r="M42" s="3"/>
      <c r="N42" s="3">
        <v>3.8274699999999999</v>
      </c>
      <c r="O42" s="3"/>
      <c r="P42" s="3">
        <f>AVERAGE(D42,F42,H42,J42,L42,N42)</f>
        <v>4.7892416666666664</v>
      </c>
      <c r="R42" s="7"/>
      <c r="S42" s="7"/>
      <c r="T42" s="7"/>
    </row>
    <row r="43" spans="1:20" ht="15" customHeight="1" x14ac:dyDescent="0.3">
      <c r="A43" s="10"/>
      <c r="B43" s="1" t="s">
        <v>10</v>
      </c>
      <c r="C43" s="3"/>
      <c r="D43" s="3">
        <v>4.8916500000000003</v>
      </c>
      <c r="E43" s="3"/>
      <c r="F43" s="3">
        <v>5.7548000000000004</v>
      </c>
      <c r="G43" s="3"/>
      <c r="H43" s="3">
        <v>5.5430400000000004</v>
      </c>
      <c r="I43" s="3"/>
      <c r="J43" s="3">
        <v>5.0887799999999999</v>
      </c>
      <c r="K43" s="3"/>
      <c r="L43" s="3">
        <v>4.6174200000000001</v>
      </c>
      <c r="M43" s="3"/>
      <c r="N43" s="3">
        <v>4.0554100000000002</v>
      </c>
      <c r="O43" s="3"/>
      <c r="P43" s="3">
        <f>AVERAGE(D43,F43,H43,J43,L43,N43)</f>
        <v>4.9918500000000003</v>
      </c>
      <c r="R43" s="7"/>
      <c r="S43" s="7"/>
      <c r="T43" s="7"/>
    </row>
    <row r="44" spans="1:20" ht="15" customHeight="1" x14ac:dyDescent="0.3">
      <c r="A44" s="10"/>
      <c r="B44" s="1" t="s">
        <v>11</v>
      </c>
      <c r="C44" s="3"/>
      <c r="D44" s="3">
        <v>4.9468199999999998</v>
      </c>
      <c r="E44" s="3"/>
      <c r="F44" s="3">
        <v>5.7874699999999999</v>
      </c>
      <c r="G44" s="3"/>
      <c r="H44" s="3">
        <v>5.5818099999999999</v>
      </c>
      <c r="I44" s="3"/>
      <c r="J44" s="3">
        <v>5.1713500000000003</v>
      </c>
      <c r="K44" s="3"/>
      <c r="L44" s="3">
        <v>4.6573900000000004</v>
      </c>
      <c r="M44" s="3"/>
      <c r="N44" s="3">
        <v>4.0957600000000003</v>
      </c>
      <c r="O44" s="3"/>
      <c r="P44" s="3">
        <f>AVERAGE(D44,F44,H44,J44,L44,N44)</f>
        <v>5.0400999999999998</v>
      </c>
      <c r="R44" s="7"/>
      <c r="S44" s="7"/>
      <c r="T44" s="7"/>
    </row>
    <row r="45" spans="1:20" ht="15" customHeight="1" x14ac:dyDescent="0.3">
      <c r="A45" s="10"/>
      <c r="B45" s="2" t="s">
        <v>12</v>
      </c>
      <c r="C45" s="4"/>
      <c r="D45" s="4">
        <v>5.0161800000000003</v>
      </c>
      <c r="E45" s="4"/>
      <c r="F45" s="4">
        <v>5.9340799999999998</v>
      </c>
      <c r="G45" s="4"/>
      <c r="H45" s="4">
        <v>5.8495100000000004</v>
      </c>
      <c r="I45" s="4"/>
      <c r="J45" s="4">
        <v>5.18804</v>
      </c>
      <c r="K45" s="4"/>
      <c r="L45" s="4">
        <v>4.7650699999999997</v>
      </c>
      <c r="M45" s="4"/>
      <c r="N45" s="4">
        <v>4.1074799999999998</v>
      </c>
      <c r="O45" s="4"/>
      <c r="P45" s="4">
        <f>AVERAGE(D45,F45,H45,J45,L45,N45)</f>
        <v>5.1433933333333339</v>
      </c>
      <c r="R45" s="7"/>
      <c r="S45" s="7"/>
      <c r="T45" s="7"/>
    </row>
    <row r="46" spans="1:20" ht="15" customHeight="1" x14ac:dyDescent="0.3">
      <c r="A46" s="10"/>
      <c r="B46" s="11" t="s">
        <v>14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R46" s="7"/>
      <c r="S46" s="7"/>
      <c r="T46" s="7"/>
    </row>
    <row r="47" spans="1:20" ht="15" customHeight="1" x14ac:dyDescent="0.3">
      <c r="A47" s="10"/>
      <c r="B47" s="12" t="s">
        <v>0</v>
      </c>
      <c r="C47" s="12" t="s">
        <v>1</v>
      </c>
      <c r="D47" s="12"/>
      <c r="E47" s="12" t="s">
        <v>2</v>
      </c>
      <c r="F47" s="12"/>
      <c r="G47" s="12" t="s">
        <v>3</v>
      </c>
      <c r="H47" s="12"/>
      <c r="I47" s="12" t="s">
        <v>4</v>
      </c>
      <c r="J47" s="12"/>
      <c r="K47" s="12" t="s">
        <v>5</v>
      </c>
      <c r="L47" s="12"/>
      <c r="M47" s="12" t="s">
        <v>6</v>
      </c>
      <c r="N47" s="12"/>
      <c r="O47" s="12" t="s">
        <v>7</v>
      </c>
      <c r="P47" s="12"/>
      <c r="R47" s="7"/>
      <c r="S47" s="7"/>
      <c r="T47" s="7"/>
    </row>
    <row r="48" spans="1:20" ht="15" customHeight="1" x14ac:dyDescent="0.3">
      <c r="A48" s="10"/>
      <c r="B48" s="13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7"/>
      <c r="S48" s="7"/>
      <c r="T48" s="7"/>
    </row>
    <row r="49" spans="1:20" ht="15" customHeight="1" x14ac:dyDescent="0.3">
      <c r="A49" s="10"/>
      <c r="B49" s="1" t="s">
        <v>8</v>
      </c>
      <c r="C49" s="3"/>
      <c r="D49" s="3">
        <v>4.1194499999999996</v>
      </c>
      <c r="E49" s="3"/>
      <c r="F49" s="3">
        <v>5.1203599999999998</v>
      </c>
      <c r="G49" s="3"/>
      <c r="H49" s="3">
        <v>4.8131599999999999</v>
      </c>
      <c r="I49" s="3"/>
      <c r="J49" s="3">
        <v>4.29678</v>
      </c>
      <c r="K49" s="3"/>
      <c r="L49" s="3">
        <v>3.7155300000000002</v>
      </c>
      <c r="M49" s="3"/>
      <c r="N49" s="3">
        <v>3.2848999999999999</v>
      </c>
      <c r="O49" s="3"/>
      <c r="P49" s="3">
        <f>AVERAGE(D49,F49,H49,J49,L49,N49)</f>
        <v>4.2250300000000003</v>
      </c>
      <c r="R49" s="7"/>
      <c r="S49" s="7"/>
      <c r="T49" s="7"/>
    </row>
    <row r="50" spans="1:20" ht="15" customHeight="1" x14ac:dyDescent="0.3">
      <c r="A50" s="10"/>
      <c r="B50" s="1" t="s">
        <v>9</v>
      </c>
      <c r="C50" s="3"/>
      <c r="D50" s="3">
        <v>4.2852399999999999</v>
      </c>
      <c r="E50" s="3"/>
      <c r="F50" s="3">
        <v>5.3870699999999996</v>
      </c>
      <c r="G50" s="3"/>
      <c r="H50" s="3">
        <v>5.17645</v>
      </c>
      <c r="I50" s="3"/>
      <c r="J50" s="3">
        <v>4.6856400000000002</v>
      </c>
      <c r="K50" s="3"/>
      <c r="L50" s="3">
        <v>4.0411799999999998</v>
      </c>
      <c r="M50" s="3"/>
      <c r="N50" s="3">
        <v>3.5925400000000001</v>
      </c>
      <c r="O50" s="3"/>
      <c r="P50" s="3">
        <f>AVERAGE(D50,F50,H50,J50,L50,N50)</f>
        <v>4.5280199999999997</v>
      </c>
      <c r="R50" s="7"/>
      <c r="S50" s="7"/>
      <c r="T50" s="7"/>
    </row>
    <row r="51" spans="1:20" ht="15" customHeight="1" x14ac:dyDescent="0.3">
      <c r="A51" s="10"/>
      <c r="B51" s="1" t="s">
        <v>10</v>
      </c>
      <c r="C51" s="3"/>
      <c r="D51" s="3">
        <v>4.4340000000000002</v>
      </c>
      <c r="E51" s="3"/>
      <c r="F51" s="3">
        <v>5.5731700000000002</v>
      </c>
      <c r="G51" s="3"/>
      <c r="H51" s="3">
        <v>5.3862300000000003</v>
      </c>
      <c r="I51" s="3"/>
      <c r="J51" s="3">
        <v>4.6628800000000004</v>
      </c>
      <c r="K51" s="3"/>
      <c r="L51" s="3">
        <v>4.2347299999999999</v>
      </c>
      <c r="M51" s="3"/>
      <c r="N51" s="3">
        <v>3.7417899999999999</v>
      </c>
      <c r="O51" s="3"/>
      <c r="P51" s="3">
        <f>AVERAGE(D51,F51,H51,J51,L51,N51)</f>
        <v>4.6721333333333339</v>
      </c>
      <c r="R51" s="7"/>
      <c r="S51" s="7"/>
      <c r="T51" s="7"/>
    </row>
    <row r="52" spans="1:20" ht="15" customHeight="1" x14ac:dyDescent="0.3">
      <c r="A52" s="10"/>
      <c r="B52" s="1" t="s">
        <v>11</v>
      </c>
      <c r="C52" s="3"/>
      <c r="D52" s="3">
        <v>4.5335799999999997</v>
      </c>
      <c r="E52" s="3"/>
      <c r="F52" s="3">
        <v>5.4680799999999996</v>
      </c>
      <c r="G52" s="3"/>
      <c r="H52" s="3">
        <v>5.3467000000000002</v>
      </c>
      <c r="I52" s="3"/>
      <c r="J52" s="3">
        <v>4.77583</v>
      </c>
      <c r="K52" s="3"/>
      <c r="L52" s="3">
        <v>4.34551</v>
      </c>
      <c r="M52" s="3"/>
      <c r="N52" s="3">
        <v>3.8206500000000001</v>
      </c>
      <c r="O52" s="3"/>
      <c r="P52" s="3">
        <f>AVERAGE(D52,F52,H52,J52,L52,N52)</f>
        <v>4.7150583333333334</v>
      </c>
      <c r="R52" s="7"/>
      <c r="S52" s="7"/>
      <c r="T52" s="7"/>
    </row>
    <row r="53" spans="1:20" ht="15" customHeight="1" x14ac:dyDescent="0.3">
      <c r="A53" s="10"/>
      <c r="B53" s="2" t="s">
        <v>12</v>
      </c>
      <c r="C53" s="4"/>
      <c r="D53" s="4">
        <v>4.5871399999999998</v>
      </c>
      <c r="E53" s="4"/>
      <c r="F53" s="4">
        <v>5.8030799999999996</v>
      </c>
      <c r="G53" s="4"/>
      <c r="H53" s="4">
        <v>5.60609</v>
      </c>
      <c r="I53" s="4"/>
      <c r="J53" s="4">
        <v>4.9135099999999996</v>
      </c>
      <c r="K53" s="4"/>
      <c r="L53" s="4">
        <v>4.3998900000000001</v>
      </c>
      <c r="M53" s="4"/>
      <c r="N53" s="4">
        <v>3.82565</v>
      </c>
      <c r="O53" s="4"/>
      <c r="P53" s="4">
        <f>AVERAGE(D53,F53,H53,J53,L53,N53)</f>
        <v>4.8558933333333334</v>
      </c>
      <c r="R53" s="7"/>
      <c r="S53" s="7"/>
      <c r="T53" s="7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7"/>
      <c r="S54" s="7"/>
      <c r="T54" s="7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7"/>
      <c r="S55" s="7"/>
      <c r="T55" s="7"/>
    </row>
    <row r="56" spans="1:20" ht="15" customHeight="1" x14ac:dyDescent="0.3">
      <c r="A56" s="10" t="s">
        <v>45</v>
      </c>
      <c r="B56" s="11" t="s">
        <v>13</v>
      </c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R56" s="7"/>
      <c r="S56" s="7"/>
      <c r="T56" s="7"/>
    </row>
    <row r="57" spans="1:20" ht="15" customHeight="1" x14ac:dyDescent="0.3">
      <c r="A57" s="10"/>
      <c r="B57" s="12" t="s">
        <v>0</v>
      </c>
      <c r="C57" s="12" t="s">
        <v>1</v>
      </c>
      <c r="D57" s="12"/>
      <c r="E57" s="12" t="s">
        <v>2</v>
      </c>
      <c r="F57" s="12"/>
      <c r="G57" s="12" t="s">
        <v>3</v>
      </c>
      <c r="H57" s="12"/>
      <c r="I57" s="12" t="s">
        <v>4</v>
      </c>
      <c r="J57" s="12"/>
      <c r="K57" s="12" t="s">
        <v>5</v>
      </c>
      <c r="L57" s="12"/>
      <c r="M57" s="12" t="s">
        <v>6</v>
      </c>
      <c r="N57" s="12"/>
      <c r="O57" s="12" t="s">
        <v>7</v>
      </c>
      <c r="P57" s="12"/>
      <c r="R57" s="7"/>
      <c r="S57" s="7"/>
      <c r="T57" s="7"/>
    </row>
    <row r="58" spans="1:20" ht="15" customHeight="1" x14ac:dyDescent="0.3">
      <c r="A58" s="10"/>
      <c r="B58" s="13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7"/>
      <c r="S58" s="7"/>
      <c r="T58" s="7"/>
    </row>
    <row r="59" spans="1:20" ht="15" customHeight="1" x14ac:dyDescent="0.3">
      <c r="A59" s="10"/>
      <c r="B59" s="1" t="s">
        <v>8</v>
      </c>
      <c r="C59" s="3"/>
      <c r="D59" s="3">
        <v>4.5689299999999999</v>
      </c>
      <c r="E59" s="3"/>
      <c r="F59" s="3">
        <v>5.5732100000000004</v>
      </c>
      <c r="G59" s="3"/>
      <c r="H59" s="3">
        <v>5.1474900000000003</v>
      </c>
      <c r="I59" s="3"/>
      <c r="J59" s="3">
        <v>4.7865599999999997</v>
      </c>
      <c r="K59" s="3"/>
      <c r="L59" s="3">
        <v>4.1556199999999999</v>
      </c>
      <c r="M59" s="3"/>
      <c r="N59" s="3">
        <v>3.6334300000000002</v>
      </c>
      <c r="O59" s="3"/>
      <c r="P59" s="3">
        <f>AVERAGE(D59,F59,H59,J59,L59,N59)</f>
        <v>4.6442066666666673</v>
      </c>
      <c r="R59" s="7"/>
      <c r="S59" s="7"/>
      <c r="T59" s="7"/>
    </row>
    <row r="60" spans="1:20" ht="15" customHeight="1" x14ac:dyDescent="0.3">
      <c r="A60" s="10"/>
      <c r="B60" s="1" t="s">
        <v>9</v>
      </c>
      <c r="C60" s="3"/>
      <c r="D60" s="3">
        <v>4.9636199999999997</v>
      </c>
      <c r="E60" s="3"/>
      <c r="F60" s="3">
        <v>5.8313199999999998</v>
      </c>
      <c r="G60" s="3"/>
      <c r="H60" s="3">
        <v>5.6455599999999997</v>
      </c>
      <c r="I60" s="3"/>
      <c r="J60" s="3">
        <v>5.1763000000000003</v>
      </c>
      <c r="K60" s="3"/>
      <c r="L60" s="3">
        <v>4.6677099999999996</v>
      </c>
      <c r="M60" s="3"/>
      <c r="N60" s="3">
        <v>4.0916800000000002</v>
      </c>
      <c r="O60" s="3"/>
      <c r="P60" s="3">
        <f>AVERAGE(D60,F60,H60,J60,L60,N60)</f>
        <v>5.0626983333333335</v>
      </c>
      <c r="R60" s="7"/>
      <c r="S60" s="7"/>
      <c r="T60" s="7"/>
    </row>
    <row r="61" spans="1:20" ht="15" customHeight="1" x14ac:dyDescent="0.3">
      <c r="A61" s="10"/>
      <c r="B61" s="1" t="s">
        <v>10</v>
      </c>
      <c r="C61" s="3"/>
      <c r="D61" s="3">
        <v>5.1536600000000004</v>
      </c>
      <c r="E61" s="3"/>
      <c r="F61" s="3">
        <v>6.0681799999999999</v>
      </c>
      <c r="G61" s="3"/>
      <c r="H61" s="3">
        <v>5.8374499999999996</v>
      </c>
      <c r="I61" s="3"/>
      <c r="J61" s="3">
        <v>5.4357300000000004</v>
      </c>
      <c r="K61" s="3"/>
      <c r="L61" s="3">
        <v>4.9444400000000002</v>
      </c>
      <c r="M61" s="3"/>
      <c r="N61" s="3">
        <v>4.3256100000000002</v>
      </c>
      <c r="O61" s="3"/>
      <c r="P61" s="3">
        <f>AVERAGE(D61,F61,H61,J61,L61,N61)</f>
        <v>5.2941783333333339</v>
      </c>
      <c r="R61" s="7"/>
      <c r="S61" s="7"/>
      <c r="T61" s="7"/>
    </row>
    <row r="62" spans="1:20" ht="15" customHeight="1" x14ac:dyDescent="0.3">
      <c r="A62" s="10"/>
      <c r="B62" s="1" t="s">
        <v>11</v>
      </c>
      <c r="C62" s="3"/>
      <c r="D62" s="3">
        <v>5.2013699999999998</v>
      </c>
      <c r="E62" s="3"/>
      <c r="F62" s="3">
        <v>6.0914299999999999</v>
      </c>
      <c r="G62" s="3"/>
      <c r="H62" s="3">
        <v>5.9162600000000003</v>
      </c>
      <c r="I62" s="3"/>
      <c r="J62" s="3">
        <v>5.4433999999999996</v>
      </c>
      <c r="K62" s="3"/>
      <c r="L62" s="3">
        <v>4.88727</v>
      </c>
      <c r="M62" s="3"/>
      <c r="N62" s="3">
        <v>4.2856500000000004</v>
      </c>
      <c r="O62" s="3"/>
      <c r="P62" s="3">
        <f>AVERAGE(D62,F62,H62,J62,L62,N62)</f>
        <v>5.3042300000000004</v>
      </c>
      <c r="R62" s="7"/>
      <c r="S62" s="7"/>
      <c r="T62" s="7"/>
    </row>
    <row r="63" spans="1:20" ht="15" customHeight="1" x14ac:dyDescent="0.3">
      <c r="A63" s="10"/>
      <c r="B63" s="2" t="s">
        <v>12</v>
      </c>
      <c r="C63" s="4"/>
      <c r="D63" s="4">
        <v>5.2447999999999997</v>
      </c>
      <c r="E63" s="4"/>
      <c r="F63" s="4">
        <v>6.1273299999999997</v>
      </c>
      <c r="G63" s="4"/>
      <c r="H63" s="4">
        <v>5.9121600000000001</v>
      </c>
      <c r="I63" s="4"/>
      <c r="J63" s="4">
        <v>5.4331800000000001</v>
      </c>
      <c r="K63" s="4"/>
      <c r="L63" s="4">
        <v>5.1311099999999996</v>
      </c>
      <c r="M63" s="4"/>
      <c r="N63" s="4">
        <v>4.3350200000000001</v>
      </c>
      <c r="O63" s="4"/>
      <c r="P63" s="4">
        <f>AVERAGE(D63,F63,H63,J63,L63,N63)</f>
        <v>5.3639333333333328</v>
      </c>
      <c r="R63" s="7"/>
      <c r="S63" s="7"/>
      <c r="T63" s="7"/>
    </row>
    <row r="64" spans="1:20" ht="15" customHeight="1" x14ac:dyDescent="0.3">
      <c r="A64" s="10"/>
      <c r="B64" s="11" t="s">
        <v>14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R64" s="7"/>
      <c r="S64" s="7"/>
      <c r="T64" s="7"/>
    </row>
    <row r="65" spans="1:20" ht="15" customHeight="1" x14ac:dyDescent="0.3">
      <c r="A65" s="10"/>
      <c r="B65" s="12" t="s">
        <v>0</v>
      </c>
      <c r="C65" s="12" t="s">
        <v>1</v>
      </c>
      <c r="D65" s="12"/>
      <c r="E65" s="12" t="s">
        <v>2</v>
      </c>
      <c r="F65" s="12"/>
      <c r="G65" s="12" t="s">
        <v>3</v>
      </c>
      <c r="H65" s="12"/>
      <c r="I65" s="12" t="s">
        <v>4</v>
      </c>
      <c r="J65" s="12"/>
      <c r="K65" s="12" t="s">
        <v>5</v>
      </c>
      <c r="L65" s="12"/>
      <c r="M65" s="12" t="s">
        <v>6</v>
      </c>
      <c r="N65" s="12"/>
      <c r="O65" s="12" t="s">
        <v>7</v>
      </c>
      <c r="P65" s="12"/>
      <c r="R65" s="7"/>
      <c r="S65" s="7"/>
      <c r="T65" s="7"/>
    </row>
    <row r="66" spans="1:20" ht="15" customHeight="1" x14ac:dyDescent="0.3">
      <c r="A66" s="10"/>
      <c r="B66" s="13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7"/>
      <c r="S66" s="7"/>
      <c r="T66" s="7"/>
    </row>
    <row r="67" spans="1:20" ht="15" customHeight="1" x14ac:dyDescent="0.3">
      <c r="A67" s="10"/>
      <c r="B67" s="1" t="s">
        <v>8</v>
      </c>
      <c r="C67" s="3"/>
      <c r="D67" s="3">
        <v>4.1356999999999999</v>
      </c>
      <c r="E67" s="3"/>
      <c r="F67" s="3">
        <v>5.3262299999999998</v>
      </c>
      <c r="G67" s="3"/>
      <c r="H67" s="3">
        <v>4.8702199999999998</v>
      </c>
      <c r="I67" s="3"/>
      <c r="J67" s="3">
        <v>4.4009</v>
      </c>
      <c r="K67" s="3"/>
      <c r="L67" s="3">
        <v>3.8662399999999999</v>
      </c>
      <c r="M67" s="3"/>
      <c r="N67" s="3">
        <v>3.46048</v>
      </c>
      <c r="O67" s="3"/>
      <c r="P67" s="3">
        <f>AVERAGE(D67,F67,H67,J67,L67,N67)</f>
        <v>4.3432950000000003</v>
      </c>
      <c r="R67" s="7"/>
      <c r="S67" s="7"/>
      <c r="T67" s="7"/>
    </row>
    <row r="68" spans="1:20" ht="15" customHeight="1" x14ac:dyDescent="0.3">
      <c r="A68" s="10"/>
      <c r="B68" s="1" t="s">
        <v>9</v>
      </c>
      <c r="C68" s="3"/>
      <c r="D68" s="3">
        <v>4.47675</v>
      </c>
      <c r="E68" s="3"/>
      <c r="F68" s="3">
        <v>5.66073</v>
      </c>
      <c r="G68" s="3"/>
      <c r="H68" s="3">
        <v>5.4292499999999997</v>
      </c>
      <c r="I68" s="3"/>
      <c r="J68" s="3">
        <v>4.84232</v>
      </c>
      <c r="K68" s="3"/>
      <c r="L68" s="3">
        <v>4.2573600000000003</v>
      </c>
      <c r="M68" s="3"/>
      <c r="N68" s="3">
        <v>3.7513200000000002</v>
      </c>
      <c r="O68" s="3"/>
      <c r="P68" s="3">
        <f>AVERAGE(D68,F68,H68,J68,L68,N68)</f>
        <v>4.7362883333333334</v>
      </c>
      <c r="R68" s="7"/>
      <c r="S68" s="7"/>
      <c r="T68" s="7"/>
    </row>
    <row r="69" spans="1:20" ht="15" customHeight="1" x14ac:dyDescent="0.3">
      <c r="A69" s="10"/>
      <c r="B69" s="1" t="s">
        <v>10</v>
      </c>
      <c r="C69" s="3"/>
      <c r="D69" s="3">
        <v>4.6834899999999999</v>
      </c>
      <c r="E69" s="3"/>
      <c r="F69" s="3">
        <v>5.8116199999999996</v>
      </c>
      <c r="G69" s="3"/>
      <c r="H69" s="3">
        <v>5.6635</v>
      </c>
      <c r="I69" s="3"/>
      <c r="J69" s="3">
        <v>5.0595999999999997</v>
      </c>
      <c r="K69" s="3"/>
      <c r="L69" s="3">
        <v>4.5441099999999999</v>
      </c>
      <c r="M69" s="3"/>
      <c r="N69" s="3">
        <v>4.0245899999999999</v>
      </c>
      <c r="O69" s="3"/>
      <c r="P69" s="3">
        <f>AVERAGE(D69,F69,H69,J69,L69,N69)</f>
        <v>4.9644849999999998</v>
      </c>
      <c r="R69" s="7"/>
      <c r="S69" s="7"/>
      <c r="T69" s="7"/>
    </row>
    <row r="70" spans="1:20" ht="15" customHeight="1" x14ac:dyDescent="0.3">
      <c r="A70" s="10"/>
      <c r="B70" s="1" t="s">
        <v>11</v>
      </c>
      <c r="C70" s="3"/>
      <c r="D70" s="3">
        <v>4.76328</v>
      </c>
      <c r="E70" s="3"/>
      <c r="F70" s="3">
        <v>5.8237800000000002</v>
      </c>
      <c r="G70" s="3"/>
      <c r="H70" s="3">
        <v>5.6883499999999998</v>
      </c>
      <c r="I70" s="3"/>
      <c r="J70" s="3">
        <v>5.0670299999999999</v>
      </c>
      <c r="K70" s="3"/>
      <c r="L70" s="3">
        <v>4.43344</v>
      </c>
      <c r="M70" s="3"/>
      <c r="N70" s="3">
        <v>4.1517099999999996</v>
      </c>
      <c r="O70" s="3"/>
      <c r="P70" s="3">
        <f>AVERAGE(D70,F70,H70,J70,L70,N70)</f>
        <v>4.9879316666666673</v>
      </c>
      <c r="R70" s="7"/>
      <c r="S70" s="7"/>
      <c r="T70" s="7"/>
    </row>
    <row r="71" spans="1:20" ht="15" customHeight="1" x14ac:dyDescent="0.3">
      <c r="A71" s="10"/>
      <c r="B71" s="2" t="s">
        <v>12</v>
      </c>
      <c r="C71" s="4"/>
      <c r="D71" s="4">
        <v>4.8011799999999996</v>
      </c>
      <c r="E71" s="4"/>
      <c r="F71" s="4">
        <v>5.8531700000000004</v>
      </c>
      <c r="G71" s="4"/>
      <c r="H71" s="4">
        <v>5.7463300000000004</v>
      </c>
      <c r="I71" s="4"/>
      <c r="J71" s="4">
        <v>5.0921599999999998</v>
      </c>
      <c r="K71" s="4"/>
      <c r="L71" s="4">
        <v>4.6106199999999999</v>
      </c>
      <c r="M71" s="4"/>
      <c r="N71" s="4">
        <v>4.0481800000000003</v>
      </c>
      <c r="O71" s="4"/>
      <c r="P71" s="4">
        <f>AVERAGE(D71,F71,H71,J71,L71,N71)</f>
        <v>5.0252733333333337</v>
      </c>
      <c r="R71" s="7"/>
      <c r="S71" s="7"/>
      <c r="T71" s="7"/>
    </row>
    <row r="72" spans="1:20" ht="15" customHeight="1" x14ac:dyDescent="0.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R72" s="7"/>
      <c r="S72" s="7"/>
      <c r="T72" s="7"/>
    </row>
    <row r="73" spans="1:20" ht="15" customHeight="1" x14ac:dyDescent="0.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R73" s="7"/>
      <c r="S73" s="7"/>
      <c r="T73" s="7"/>
    </row>
    <row r="74" spans="1:20" ht="15" customHeight="1" x14ac:dyDescent="0.3">
      <c r="A74" s="9" t="s">
        <v>46</v>
      </c>
      <c r="B74" s="11" t="s">
        <v>13</v>
      </c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R74" s="7"/>
      <c r="S74" s="7"/>
      <c r="T74" s="7"/>
    </row>
    <row r="75" spans="1:20" ht="15" customHeight="1" x14ac:dyDescent="0.3">
      <c r="A75" s="10"/>
      <c r="B75" s="12" t="s">
        <v>0</v>
      </c>
      <c r="C75" s="12" t="s">
        <v>1</v>
      </c>
      <c r="D75" s="12"/>
      <c r="E75" s="12" t="s">
        <v>2</v>
      </c>
      <c r="F75" s="12"/>
      <c r="G75" s="12" t="s">
        <v>3</v>
      </c>
      <c r="H75" s="12"/>
      <c r="I75" s="12" t="s">
        <v>4</v>
      </c>
      <c r="J75" s="12"/>
      <c r="K75" s="12" t="s">
        <v>5</v>
      </c>
      <c r="L75" s="12"/>
      <c r="M75" s="12" t="s">
        <v>6</v>
      </c>
      <c r="N75" s="12"/>
      <c r="O75" s="12" t="s">
        <v>7</v>
      </c>
      <c r="P75" s="12"/>
      <c r="R75" s="7"/>
      <c r="S75" s="7"/>
      <c r="T75" s="7"/>
    </row>
    <row r="76" spans="1:20" ht="15" customHeight="1" x14ac:dyDescent="0.3">
      <c r="A76" s="10"/>
      <c r="B76" s="13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  <c r="R76" s="7"/>
      <c r="S76" s="7"/>
      <c r="T76" s="7"/>
    </row>
    <row r="77" spans="1:20" ht="15" customHeight="1" x14ac:dyDescent="0.3">
      <c r="A77" s="10"/>
      <c r="B77" s="1" t="s">
        <v>8</v>
      </c>
      <c r="C77" s="3"/>
      <c r="D77" s="3">
        <v>4.6461800000000002</v>
      </c>
      <c r="E77" s="3"/>
      <c r="F77" s="3">
        <v>5.7082499999999996</v>
      </c>
      <c r="G77" s="3"/>
      <c r="H77" s="3">
        <v>5.4791999999999996</v>
      </c>
      <c r="I77" s="3"/>
      <c r="J77" s="3">
        <v>4.8402599999999998</v>
      </c>
      <c r="K77" s="3"/>
      <c r="L77" s="3">
        <v>4.3976300000000004</v>
      </c>
      <c r="M77" s="3"/>
      <c r="N77" s="3">
        <v>3.82822</v>
      </c>
      <c r="O77" s="3"/>
      <c r="P77" s="3">
        <f>AVERAGE(D77,F77,H77,J77,L77,N77)</f>
        <v>4.8166233333333333</v>
      </c>
      <c r="R77" s="7"/>
      <c r="S77" s="7"/>
      <c r="T77" s="7"/>
    </row>
    <row r="78" spans="1:20" ht="15" customHeight="1" x14ac:dyDescent="0.3">
      <c r="A78" s="10"/>
      <c r="B78" s="1" t="s">
        <v>10</v>
      </c>
      <c r="C78" s="3"/>
      <c r="D78" s="3">
        <v>4.8698699999999997</v>
      </c>
      <c r="E78" s="3"/>
      <c r="F78" s="3">
        <v>5.9710700000000001</v>
      </c>
      <c r="G78" s="3"/>
      <c r="H78" s="3">
        <v>5.6823300000000003</v>
      </c>
      <c r="I78" s="3"/>
      <c r="J78" s="3">
        <v>5.1452799999999996</v>
      </c>
      <c r="K78" s="3"/>
      <c r="L78" s="3">
        <v>4.7675299999999998</v>
      </c>
      <c r="M78" s="3"/>
      <c r="N78" s="3">
        <v>4.1111500000000003</v>
      </c>
      <c r="O78" s="3"/>
      <c r="P78" s="3">
        <f>AVERAGE(D78,F78,H78,J78,L78,N78)</f>
        <v>5.0912049999999995</v>
      </c>
      <c r="R78" s="7"/>
      <c r="S78" s="7"/>
      <c r="T78" s="7"/>
    </row>
    <row r="79" spans="1:20" ht="15" customHeight="1" x14ac:dyDescent="0.3">
      <c r="A79" s="10"/>
      <c r="B79" s="2" t="s">
        <v>12</v>
      </c>
      <c r="C79" s="4"/>
      <c r="D79" s="4">
        <v>4.9489000000000001</v>
      </c>
      <c r="E79" s="4"/>
      <c r="F79" s="4">
        <v>6.0358900000000002</v>
      </c>
      <c r="G79" s="4"/>
      <c r="H79" s="4">
        <v>5.8227900000000004</v>
      </c>
      <c r="I79" s="4"/>
      <c r="J79" s="4">
        <v>5.1799600000000003</v>
      </c>
      <c r="K79" s="4"/>
      <c r="L79" s="4">
        <v>4.76105</v>
      </c>
      <c r="M79" s="4"/>
      <c r="N79" s="4">
        <v>4.1094099999999996</v>
      </c>
      <c r="O79" s="4"/>
      <c r="P79" s="3">
        <f>AVERAGE(D79,F79,H79,J79,L79,N79)</f>
        <v>5.1430000000000007</v>
      </c>
      <c r="R79" s="7"/>
      <c r="S79" s="7"/>
      <c r="T79" s="7"/>
    </row>
    <row r="80" spans="1:20" ht="15" customHeight="1" x14ac:dyDescent="0.3">
      <c r="A80" s="10"/>
      <c r="B80" s="11" t="s">
        <v>14</v>
      </c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R80" s="7"/>
      <c r="S80" s="7"/>
      <c r="T80" s="7"/>
    </row>
    <row r="81" spans="1:20" ht="15" customHeight="1" x14ac:dyDescent="0.3">
      <c r="A81" s="10"/>
      <c r="B81" s="12" t="s">
        <v>0</v>
      </c>
      <c r="C81" s="12" t="s">
        <v>1</v>
      </c>
      <c r="D81" s="12"/>
      <c r="E81" s="12" t="s">
        <v>2</v>
      </c>
      <c r="F81" s="12"/>
      <c r="G81" s="12" t="s">
        <v>3</v>
      </c>
      <c r="H81" s="12"/>
      <c r="I81" s="12" t="s">
        <v>4</v>
      </c>
      <c r="J81" s="12"/>
      <c r="K81" s="12" t="s">
        <v>5</v>
      </c>
      <c r="L81" s="12"/>
      <c r="M81" s="12" t="s">
        <v>6</v>
      </c>
      <c r="N81" s="12"/>
      <c r="O81" s="12" t="s">
        <v>7</v>
      </c>
      <c r="P81" s="12"/>
      <c r="R81" s="7"/>
      <c r="S81" s="7"/>
      <c r="T81" s="7"/>
    </row>
    <row r="82" spans="1:20" ht="15" customHeight="1" x14ac:dyDescent="0.3">
      <c r="A82" s="10"/>
      <c r="B82" s="13"/>
      <c r="C82" s="2" t="s">
        <v>15</v>
      </c>
      <c r="D82" s="2" t="s">
        <v>16</v>
      </c>
      <c r="E82" s="2" t="s">
        <v>15</v>
      </c>
      <c r="F82" s="2" t="s">
        <v>16</v>
      </c>
      <c r="G82" s="2" t="s">
        <v>15</v>
      </c>
      <c r="H82" s="2" t="s">
        <v>16</v>
      </c>
      <c r="I82" s="2" t="s">
        <v>15</v>
      </c>
      <c r="J82" s="2" t="s">
        <v>16</v>
      </c>
      <c r="K82" s="2" t="s">
        <v>15</v>
      </c>
      <c r="L82" s="2" t="s">
        <v>16</v>
      </c>
      <c r="M82" s="2" t="s">
        <v>15</v>
      </c>
      <c r="N82" s="2" t="s">
        <v>16</v>
      </c>
      <c r="O82" s="2" t="s">
        <v>15</v>
      </c>
      <c r="P82" s="2" t="s">
        <v>16</v>
      </c>
      <c r="R82" s="7"/>
      <c r="S82" s="7"/>
      <c r="T82" s="7"/>
    </row>
    <row r="83" spans="1:20" ht="15" customHeight="1" x14ac:dyDescent="0.3">
      <c r="A83" s="10"/>
      <c r="B83" s="1" t="s">
        <v>8</v>
      </c>
      <c r="C83" s="3"/>
      <c r="D83" s="3">
        <v>4.2968700000000002</v>
      </c>
      <c r="E83" s="3"/>
      <c r="F83" s="3">
        <v>5.4696899999999999</v>
      </c>
      <c r="G83" s="3"/>
      <c r="H83" s="3">
        <v>5.2728200000000003</v>
      </c>
      <c r="I83" s="3"/>
      <c r="J83" s="3">
        <v>4.5333500000000004</v>
      </c>
      <c r="K83" s="3"/>
      <c r="L83" s="3">
        <v>4.0951500000000003</v>
      </c>
      <c r="M83" s="3"/>
      <c r="N83" s="3">
        <v>3.5975899999999998</v>
      </c>
      <c r="O83" s="3"/>
      <c r="P83" s="3">
        <f>AVERAGE(D83,F83,H83,J83,L83,N83)</f>
        <v>4.5442450000000001</v>
      </c>
      <c r="R83" s="7"/>
      <c r="S83" s="7"/>
      <c r="T83" s="7"/>
    </row>
    <row r="84" spans="1:20" ht="15" customHeight="1" x14ac:dyDescent="0.3">
      <c r="A84" s="10"/>
      <c r="B84" s="1" t="s">
        <v>10</v>
      </c>
      <c r="C84" s="3"/>
      <c r="D84" s="3">
        <v>4.4737999999999998</v>
      </c>
      <c r="E84" s="3"/>
      <c r="F84" s="3">
        <v>5.60236</v>
      </c>
      <c r="G84" s="3"/>
      <c r="H84" s="3">
        <v>5.5017800000000001</v>
      </c>
      <c r="I84" s="3"/>
      <c r="J84" s="3">
        <v>4.8213200000000001</v>
      </c>
      <c r="K84" s="3"/>
      <c r="L84" s="3">
        <v>4.4157700000000002</v>
      </c>
      <c r="M84" s="3"/>
      <c r="N84" s="3">
        <v>3.8286199999999999</v>
      </c>
      <c r="O84" s="3"/>
      <c r="P84" s="3">
        <f>AVERAGE(D84,F84,H84,J84,L84,N84)</f>
        <v>4.7739416666666665</v>
      </c>
      <c r="R84" s="7"/>
      <c r="S84" s="7"/>
      <c r="T84" s="7"/>
    </row>
    <row r="85" spans="1:20" ht="15" customHeight="1" x14ac:dyDescent="0.3">
      <c r="A85" s="10"/>
      <c r="B85" s="2" t="s">
        <v>12</v>
      </c>
      <c r="C85" s="4"/>
      <c r="D85" s="4">
        <v>4.5378999999999996</v>
      </c>
      <c r="E85" s="4"/>
      <c r="F85" s="4">
        <v>5.7141900000000003</v>
      </c>
      <c r="G85" s="4"/>
      <c r="H85" s="4">
        <v>5.5835900000000001</v>
      </c>
      <c r="I85" s="4"/>
      <c r="J85" s="4">
        <v>4.79148</v>
      </c>
      <c r="K85" s="4"/>
      <c r="L85" s="4">
        <v>4.3329700000000004</v>
      </c>
      <c r="M85" s="4"/>
      <c r="N85" s="4">
        <v>3.7964500000000001</v>
      </c>
      <c r="O85" s="4"/>
      <c r="P85" s="4">
        <f>AVERAGE(D85,F85,H85,J85,L85,N85)</f>
        <v>4.7927633333333333</v>
      </c>
      <c r="R85" s="7"/>
      <c r="S85" s="7"/>
      <c r="T85" s="7"/>
    </row>
    <row r="86" spans="1:20" ht="15" customHeight="1" x14ac:dyDescent="0.3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R86" s="7"/>
      <c r="S86" s="7"/>
      <c r="T86" s="7"/>
    </row>
    <row r="87" spans="1:20" ht="15" customHeight="1" x14ac:dyDescent="0.3">
      <c r="R87" s="7"/>
      <c r="S87" s="7"/>
      <c r="T87" s="7"/>
    </row>
    <row r="88" spans="1:20" ht="15" customHeight="1" x14ac:dyDescent="0.3">
      <c r="A88" s="9" t="s">
        <v>30</v>
      </c>
      <c r="B88" s="11" t="s">
        <v>13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R88" s="7"/>
      <c r="S88" s="7"/>
      <c r="T88" s="7"/>
    </row>
    <row r="89" spans="1:20" ht="15" customHeight="1" x14ac:dyDescent="0.3">
      <c r="A89" s="10"/>
      <c r="B89" s="12" t="s">
        <v>0</v>
      </c>
      <c r="C89" s="12" t="s">
        <v>1</v>
      </c>
      <c r="D89" s="12"/>
      <c r="E89" s="12" t="s">
        <v>2</v>
      </c>
      <c r="F89" s="12"/>
      <c r="G89" s="12" t="s">
        <v>3</v>
      </c>
      <c r="H89" s="12"/>
      <c r="I89" s="12" t="s">
        <v>4</v>
      </c>
      <c r="J89" s="12"/>
      <c r="K89" s="12" t="s">
        <v>5</v>
      </c>
      <c r="L89" s="12"/>
      <c r="M89" s="12" t="s">
        <v>6</v>
      </c>
      <c r="N89" s="12"/>
      <c r="O89" s="12" t="s">
        <v>7</v>
      </c>
      <c r="P89" s="12"/>
      <c r="R89" s="7"/>
      <c r="S89" s="7"/>
      <c r="T89" s="7"/>
    </row>
    <row r="90" spans="1:20" ht="15" customHeight="1" x14ac:dyDescent="0.3">
      <c r="A90" s="10"/>
      <c r="B90" s="13"/>
      <c r="C90" s="2" t="s">
        <v>15</v>
      </c>
      <c r="D90" s="2" t="s">
        <v>16</v>
      </c>
      <c r="E90" s="2" t="s">
        <v>15</v>
      </c>
      <c r="F90" s="2" t="s">
        <v>16</v>
      </c>
      <c r="G90" s="2" t="s">
        <v>15</v>
      </c>
      <c r="H90" s="2" t="s">
        <v>16</v>
      </c>
      <c r="I90" s="2" t="s">
        <v>15</v>
      </c>
      <c r="J90" s="2" t="s">
        <v>16</v>
      </c>
      <c r="K90" s="2" t="s">
        <v>15</v>
      </c>
      <c r="L90" s="2" t="s">
        <v>16</v>
      </c>
      <c r="M90" s="2" t="s">
        <v>15</v>
      </c>
      <c r="N90" s="2" t="s">
        <v>16</v>
      </c>
      <c r="O90" s="2" t="s">
        <v>15</v>
      </c>
      <c r="P90" s="2" t="s">
        <v>16</v>
      </c>
      <c r="R90" s="7"/>
      <c r="S90" s="7"/>
      <c r="T90" s="7"/>
    </row>
    <row r="91" spans="1:20" ht="15" customHeight="1" x14ac:dyDescent="0.3">
      <c r="A91" s="10"/>
      <c r="B91" s="1" t="s">
        <v>31</v>
      </c>
      <c r="C91" s="3"/>
      <c r="D91" s="3">
        <v>4.8613999999999997</v>
      </c>
      <c r="E91" s="3"/>
      <c r="F91" s="3">
        <v>5.88361</v>
      </c>
      <c r="G91" s="3"/>
      <c r="H91" s="3">
        <v>5.5696399999999997</v>
      </c>
      <c r="I91" s="3"/>
      <c r="J91" s="3">
        <v>5.0985699999999996</v>
      </c>
      <c r="K91" s="3"/>
      <c r="L91" s="3">
        <v>4.5044000000000004</v>
      </c>
      <c r="M91" s="3"/>
      <c r="N91" s="3">
        <v>4.0416400000000001</v>
      </c>
      <c r="O91" s="3"/>
      <c r="P91" s="3">
        <f>AVERAGE(D91,F91,H91,J91,L91,N91)</f>
        <v>4.9932100000000004</v>
      </c>
      <c r="R91" s="7"/>
      <c r="S91" s="7"/>
      <c r="T91" s="7"/>
    </row>
    <row r="92" spans="1:20" ht="15" customHeight="1" x14ac:dyDescent="0.3">
      <c r="A92" s="10"/>
      <c r="B92" s="1" t="s">
        <v>32</v>
      </c>
      <c r="C92" s="3"/>
      <c r="D92" s="3">
        <v>5.0363800000000003</v>
      </c>
      <c r="E92" s="3"/>
      <c r="F92" s="3">
        <v>6.0898700000000003</v>
      </c>
      <c r="G92" s="3"/>
      <c r="H92" s="3">
        <v>5.7049899999999996</v>
      </c>
      <c r="I92" s="3"/>
      <c r="J92" s="3">
        <v>5.3215500000000002</v>
      </c>
      <c r="K92" s="3"/>
      <c r="L92" s="3">
        <v>4.7849199999999996</v>
      </c>
      <c r="M92" s="3"/>
      <c r="N92" s="3">
        <v>4.2842399999999996</v>
      </c>
      <c r="O92" s="3"/>
      <c r="P92" s="3">
        <f>AVERAGE(D92,F92,H92,J92,L92,N92)</f>
        <v>5.2036583333333342</v>
      </c>
      <c r="R92" s="7"/>
      <c r="S92" s="7"/>
      <c r="T92" s="7"/>
    </row>
    <row r="93" spans="1:20" ht="15" customHeight="1" x14ac:dyDescent="0.3">
      <c r="A93" s="10"/>
      <c r="B93" s="1" t="s">
        <v>33</v>
      </c>
      <c r="C93" s="3"/>
      <c r="D93" s="3">
        <v>5.1776600000000004</v>
      </c>
      <c r="E93" s="3"/>
      <c r="F93" s="3">
        <v>6.1842800000000002</v>
      </c>
      <c r="G93" s="3"/>
      <c r="H93" s="3">
        <v>5.8865100000000004</v>
      </c>
      <c r="I93" s="3"/>
      <c r="J93" s="3">
        <v>5.48346</v>
      </c>
      <c r="K93" s="3"/>
      <c r="L93" s="3">
        <v>4.9375</v>
      </c>
      <c r="M93" s="3"/>
      <c r="N93" s="3">
        <v>4.3942699999999997</v>
      </c>
      <c r="O93" s="3"/>
      <c r="P93" s="3">
        <f>AVERAGE(D93,F93,H93,J93,L93,N93)</f>
        <v>5.3439466666666675</v>
      </c>
      <c r="R93" s="7"/>
      <c r="S93" s="7"/>
      <c r="T93" s="7"/>
    </row>
    <row r="94" spans="1:20" ht="15" customHeight="1" x14ac:dyDescent="0.3">
      <c r="A94" s="10"/>
      <c r="B94" s="1" t="s">
        <v>34</v>
      </c>
      <c r="C94" s="3"/>
      <c r="D94" s="3">
        <v>5.2876300000000001</v>
      </c>
      <c r="E94" s="3"/>
      <c r="F94" s="3">
        <v>6.2506199999999996</v>
      </c>
      <c r="G94" s="3"/>
      <c r="H94" s="3">
        <v>5.9457700000000004</v>
      </c>
      <c r="I94" s="3"/>
      <c r="J94" s="3">
        <v>5.5481100000000003</v>
      </c>
      <c r="K94" s="3"/>
      <c r="L94" s="3">
        <v>5.0165199999999999</v>
      </c>
      <c r="M94" s="3"/>
      <c r="N94" s="3">
        <v>4.5465</v>
      </c>
      <c r="O94" s="3"/>
      <c r="P94" s="3">
        <f>AVERAGE(D94,F94,H94,J94,L94,N94)</f>
        <v>5.4325250000000009</v>
      </c>
      <c r="R94" s="7"/>
      <c r="S94" s="7"/>
      <c r="T94" s="7"/>
    </row>
    <row r="95" spans="1:20" ht="15" customHeight="1" x14ac:dyDescent="0.3">
      <c r="A95" s="10"/>
      <c r="B95" s="2" t="s">
        <v>35</v>
      </c>
      <c r="C95" s="4"/>
      <c r="D95" s="4">
        <v>5.2888599999999997</v>
      </c>
      <c r="E95" s="4"/>
      <c r="F95" s="4">
        <v>6.2779600000000002</v>
      </c>
      <c r="G95" s="4"/>
      <c r="H95" s="4">
        <v>6.0451699999999997</v>
      </c>
      <c r="I95" s="4"/>
      <c r="J95" s="4">
        <v>5.5814599999999999</v>
      </c>
      <c r="K95" s="4"/>
      <c r="L95" s="4">
        <v>5.0148900000000003</v>
      </c>
      <c r="M95" s="4"/>
      <c r="N95" s="4">
        <v>4.53064</v>
      </c>
      <c r="O95" s="4"/>
      <c r="P95" s="4">
        <f>AVERAGE(D95,F95,H95,J95,L95,N95)</f>
        <v>5.4564966666666663</v>
      </c>
      <c r="R95" s="7"/>
      <c r="S95" s="7"/>
      <c r="T95" s="7"/>
    </row>
    <row r="96" spans="1:20" ht="15" customHeight="1" x14ac:dyDescent="0.3">
      <c r="A96" s="10"/>
      <c r="B96" s="11" t="s">
        <v>14</v>
      </c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R96" s="7"/>
      <c r="S96" s="7"/>
      <c r="T96" s="7"/>
    </row>
    <row r="97" spans="1:20" ht="15" customHeight="1" x14ac:dyDescent="0.3">
      <c r="A97" s="10"/>
      <c r="B97" s="12" t="s">
        <v>0</v>
      </c>
      <c r="C97" s="12" t="s">
        <v>1</v>
      </c>
      <c r="D97" s="12"/>
      <c r="E97" s="12" t="s">
        <v>2</v>
      </c>
      <c r="F97" s="12"/>
      <c r="G97" s="12" t="s">
        <v>3</v>
      </c>
      <c r="H97" s="12"/>
      <c r="I97" s="12" t="s">
        <v>4</v>
      </c>
      <c r="J97" s="12"/>
      <c r="K97" s="12" t="s">
        <v>5</v>
      </c>
      <c r="L97" s="12"/>
      <c r="M97" s="12" t="s">
        <v>6</v>
      </c>
      <c r="N97" s="12"/>
      <c r="O97" s="12" t="s">
        <v>7</v>
      </c>
      <c r="P97" s="12"/>
      <c r="R97" s="7"/>
      <c r="S97" s="7"/>
      <c r="T97" s="7"/>
    </row>
    <row r="98" spans="1:20" ht="15" customHeight="1" x14ac:dyDescent="0.3">
      <c r="A98" s="10"/>
      <c r="B98" s="13"/>
      <c r="C98" s="2" t="s">
        <v>15</v>
      </c>
      <c r="D98" s="2" t="s">
        <v>16</v>
      </c>
      <c r="E98" s="2" t="s">
        <v>15</v>
      </c>
      <c r="F98" s="2" t="s">
        <v>16</v>
      </c>
      <c r="G98" s="2" t="s">
        <v>15</v>
      </c>
      <c r="H98" s="2" t="s">
        <v>16</v>
      </c>
      <c r="I98" s="2" t="s">
        <v>15</v>
      </c>
      <c r="J98" s="2" t="s">
        <v>16</v>
      </c>
      <c r="K98" s="2" t="s">
        <v>15</v>
      </c>
      <c r="L98" s="2" t="s">
        <v>16</v>
      </c>
      <c r="M98" s="2" t="s">
        <v>15</v>
      </c>
      <c r="N98" s="2" t="s">
        <v>16</v>
      </c>
      <c r="O98" s="2" t="s">
        <v>15</v>
      </c>
      <c r="P98" s="2" t="s">
        <v>16</v>
      </c>
      <c r="R98" s="7"/>
      <c r="S98" s="7"/>
      <c r="T98" s="7"/>
    </row>
    <row r="99" spans="1:20" ht="15" customHeight="1" x14ac:dyDescent="0.3">
      <c r="A99" s="10"/>
      <c r="B99" s="1" t="s">
        <v>31</v>
      </c>
      <c r="C99" s="3"/>
      <c r="D99" s="3">
        <v>4.39011</v>
      </c>
      <c r="E99" s="3"/>
      <c r="F99" s="3">
        <v>5.6082400000000003</v>
      </c>
      <c r="G99" s="3"/>
      <c r="H99" s="3">
        <v>5.3261500000000002</v>
      </c>
      <c r="I99" s="3"/>
      <c r="J99" s="3">
        <v>4.6698899999999997</v>
      </c>
      <c r="K99" s="3"/>
      <c r="L99" s="3">
        <v>4.1432399999999996</v>
      </c>
      <c r="M99" s="3"/>
      <c r="N99" s="3">
        <v>3.7595499999999999</v>
      </c>
      <c r="O99" s="3"/>
      <c r="P99" s="3">
        <f>AVERAGE(D99,F99,H99,J99,L99,N99)</f>
        <v>4.6495299999999995</v>
      </c>
      <c r="R99" s="7"/>
      <c r="S99" s="7"/>
      <c r="T99" s="7"/>
    </row>
    <row r="100" spans="1:20" ht="15" customHeight="1" x14ac:dyDescent="0.3">
      <c r="A100" s="10"/>
      <c r="B100" s="1" t="s">
        <v>32</v>
      </c>
      <c r="C100" s="3"/>
      <c r="D100" s="3">
        <v>4.5535100000000002</v>
      </c>
      <c r="E100" s="3"/>
      <c r="F100" s="3">
        <v>5.7491000000000003</v>
      </c>
      <c r="G100" s="3"/>
      <c r="H100" s="3">
        <v>5.4894600000000002</v>
      </c>
      <c r="I100" s="3"/>
      <c r="J100" s="3">
        <v>4.9547800000000004</v>
      </c>
      <c r="K100" s="3"/>
      <c r="L100" s="3">
        <v>4.3115500000000004</v>
      </c>
      <c r="M100" s="3"/>
      <c r="N100" s="3">
        <v>4.0073100000000004</v>
      </c>
      <c r="O100" s="3"/>
      <c r="P100" s="3">
        <f>AVERAGE(D100,F100,H100,J100,L100,N100)</f>
        <v>4.8442850000000002</v>
      </c>
      <c r="R100" s="7"/>
      <c r="S100" s="7"/>
      <c r="T100" s="7"/>
    </row>
    <row r="101" spans="1:20" ht="15" customHeight="1" x14ac:dyDescent="0.3">
      <c r="A101" s="10"/>
      <c r="B101" s="1" t="s">
        <v>33</v>
      </c>
      <c r="C101" s="3"/>
      <c r="D101" s="3">
        <v>4.7401799999999996</v>
      </c>
      <c r="E101" s="3"/>
      <c r="F101" s="3">
        <v>5.87758</v>
      </c>
      <c r="G101" s="3"/>
      <c r="H101" s="3">
        <v>5.6888500000000004</v>
      </c>
      <c r="I101" s="3"/>
      <c r="J101" s="3">
        <v>5.1455900000000003</v>
      </c>
      <c r="K101" s="3"/>
      <c r="L101" s="3">
        <v>4.44956</v>
      </c>
      <c r="M101" s="3"/>
      <c r="N101" s="3">
        <v>4.04033</v>
      </c>
      <c r="O101" s="3"/>
      <c r="P101" s="3">
        <f>AVERAGE(D101,F101,H101,J101,L101,N101)</f>
        <v>4.9903483333333325</v>
      </c>
      <c r="R101" s="7"/>
      <c r="S101" s="7"/>
      <c r="T101" s="7"/>
    </row>
    <row r="102" spans="1:20" ht="15" customHeight="1" x14ac:dyDescent="0.3">
      <c r="A102" s="10"/>
      <c r="B102" s="1" t="s">
        <v>34</v>
      </c>
      <c r="C102" s="3"/>
      <c r="D102" s="3">
        <v>4.8115199999999998</v>
      </c>
      <c r="E102" s="3"/>
      <c r="F102" s="3">
        <v>5.9385199999999996</v>
      </c>
      <c r="G102" s="3"/>
      <c r="H102" s="3">
        <v>5.6940099999999996</v>
      </c>
      <c r="I102" s="3"/>
      <c r="J102" s="3">
        <v>5.04535</v>
      </c>
      <c r="K102" s="3"/>
      <c r="L102" s="3">
        <v>4.57951</v>
      </c>
      <c r="M102" s="3"/>
      <c r="N102" s="3">
        <v>4.1412100000000001</v>
      </c>
      <c r="O102" s="3"/>
      <c r="P102" s="3">
        <f>AVERAGE(D102,F102,H102,J102,L102,N102)</f>
        <v>5.0350199999999994</v>
      </c>
      <c r="R102" s="7"/>
      <c r="S102" s="7"/>
      <c r="T102" s="7"/>
    </row>
    <row r="103" spans="1:20" ht="15" customHeight="1" x14ac:dyDescent="0.3">
      <c r="A103" s="10"/>
      <c r="B103" s="2" t="s">
        <v>35</v>
      </c>
      <c r="C103" s="4"/>
      <c r="D103" s="4">
        <v>4.7477600000000004</v>
      </c>
      <c r="E103" s="4"/>
      <c r="F103" s="4">
        <v>6.0426799999999998</v>
      </c>
      <c r="G103" s="4"/>
      <c r="H103" s="4">
        <v>5.7625099999999998</v>
      </c>
      <c r="I103" s="4"/>
      <c r="J103" s="4">
        <v>5.2044899999999998</v>
      </c>
      <c r="K103" s="4"/>
      <c r="L103" s="4">
        <v>4.6174200000000001</v>
      </c>
      <c r="M103" s="4"/>
      <c r="N103" s="4">
        <v>4.1296299999999997</v>
      </c>
      <c r="O103" s="4"/>
      <c r="P103" s="4">
        <f>AVERAGE(D103,F103,H103,J103,L103,N103)</f>
        <v>5.0840816666666662</v>
      </c>
      <c r="R103" s="7"/>
      <c r="S103" s="7"/>
      <c r="T103" s="7"/>
    </row>
    <row r="104" spans="1:20" ht="15" customHeight="1" x14ac:dyDescent="0.3">
      <c r="R104" s="7"/>
      <c r="S104" s="7"/>
      <c r="T104" s="7"/>
    </row>
    <row r="105" spans="1:20" ht="15" customHeight="1" x14ac:dyDescent="0.3">
      <c r="R105" s="7"/>
      <c r="S105" s="7"/>
      <c r="T105" s="7"/>
    </row>
    <row r="106" spans="1:20" ht="15" customHeight="1" x14ac:dyDescent="0.3">
      <c r="A106" s="9" t="s">
        <v>50</v>
      </c>
      <c r="B106" s="11" t="s">
        <v>13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R106" s="7"/>
      <c r="S106" s="7"/>
      <c r="T106" s="7"/>
    </row>
    <row r="107" spans="1:20" ht="15" customHeight="1" x14ac:dyDescent="0.3">
      <c r="A107" s="10"/>
      <c r="B107" s="12" t="s">
        <v>0</v>
      </c>
      <c r="C107" s="12" t="s">
        <v>1</v>
      </c>
      <c r="D107" s="12"/>
      <c r="E107" s="12" t="s">
        <v>2</v>
      </c>
      <c r="F107" s="12"/>
      <c r="G107" s="12" t="s">
        <v>3</v>
      </c>
      <c r="H107" s="12"/>
      <c r="I107" s="12" t="s">
        <v>4</v>
      </c>
      <c r="J107" s="12"/>
      <c r="K107" s="12" t="s">
        <v>5</v>
      </c>
      <c r="L107" s="12"/>
      <c r="M107" s="12" t="s">
        <v>6</v>
      </c>
      <c r="N107" s="12"/>
      <c r="O107" s="12" t="s">
        <v>7</v>
      </c>
      <c r="P107" s="12"/>
      <c r="R107" s="7"/>
      <c r="S107" s="7"/>
      <c r="T107" s="7"/>
    </row>
    <row r="108" spans="1:20" ht="15" customHeight="1" x14ac:dyDescent="0.3">
      <c r="A108" s="10"/>
      <c r="B108" s="13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  <c r="R108" s="7"/>
      <c r="S108" s="7"/>
      <c r="T108" s="7"/>
    </row>
    <row r="109" spans="1:20" ht="15" customHeight="1" x14ac:dyDescent="0.3">
      <c r="A109" s="10"/>
      <c r="B109" s="1" t="s">
        <v>8</v>
      </c>
      <c r="C109" s="3"/>
      <c r="D109" s="3">
        <v>4.8350999999999997</v>
      </c>
      <c r="E109" s="3"/>
      <c r="F109" s="3">
        <v>5.8418599999999996</v>
      </c>
      <c r="G109" s="3"/>
      <c r="H109" s="3">
        <v>5.3804100000000004</v>
      </c>
      <c r="I109" s="3"/>
      <c r="J109" s="3">
        <v>5.1307099999999997</v>
      </c>
      <c r="K109" s="3"/>
      <c r="L109" s="3">
        <v>4.2869599999999997</v>
      </c>
      <c r="M109" s="3"/>
      <c r="N109" s="3">
        <v>3.9249200000000002</v>
      </c>
      <c r="O109" s="3"/>
      <c r="P109" s="3">
        <f>AVERAGE(D109,F109,H109,J109,L109,N109)</f>
        <v>4.8999933333333336</v>
      </c>
      <c r="R109" s="7"/>
      <c r="S109" s="7"/>
      <c r="T109" s="7"/>
    </row>
    <row r="110" spans="1:20" ht="15" customHeight="1" x14ac:dyDescent="0.3">
      <c r="A110" s="10"/>
      <c r="B110" s="1" t="s">
        <v>9</v>
      </c>
      <c r="C110" s="3"/>
      <c r="D110" s="3">
        <v>5.0928699999999996</v>
      </c>
      <c r="E110" s="3"/>
      <c r="F110" s="3">
        <v>5.9963899999999999</v>
      </c>
      <c r="G110" s="3"/>
      <c r="H110" s="3">
        <v>5.7409499999999998</v>
      </c>
      <c r="I110" s="3"/>
      <c r="J110" s="3">
        <v>5.3913000000000002</v>
      </c>
      <c r="K110" s="3"/>
      <c r="L110" s="3">
        <v>4.4194800000000001</v>
      </c>
      <c r="M110" s="3"/>
      <c r="N110" s="3">
        <v>4.1529199999999999</v>
      </c>
      <c r="O110" s="3"/>
      <c r="P110" s="3">
        <f>AVERAGE(D110,F110,H110,J110,L110,N110)</f>
        <v>5.132318333333334</v>
      </c>
      <c r="R110" s="7"/>
      <c r="S110" s="7"/>
      <c r="T110" s="7"/>
    </row>
    <row r="111" spans="1:20" ht="15" customHeight="1" x14ac:dyDescent="0.3">
      <c r="A111" s="10"/>
      <c r="B111" s="1" t="s">
        <v>10</v>
      </c>
      <c r="C111" s="3"/>
      <c r="D111" s="3">
        <v>5.3201000000000001</v>
      </c>
      <c r="E111" s="3"/>
      <c r="F111" s="3">
        <v>6.1637899999999997</v>
      </c>
      <c r="G111" s="3"/>
      <c r="H111" s="3">
        <v>5.9080199999999996</v>
      </c>
      <c r="I111" s="3"/>
      <c r="J111" s="3">
        <v>5.5360100000000001</v>
      </c>
      <c r="K111" s="3"/>
      <c r="L111" s="3">
        <v>4.71347</v>
      </c>
      <c r="M111" s="3"/>
      <c r="N111" s="3">
        <v>4.3147200000000003</v>
      </c>
      <c r="O111" s="3"/>
      <c r="P111" s="3">
        <f>AVERAGE(D111,F111,H111,J111,L111,N111)</f>
        <v>5.3260183333333337</v>
      </c>
      <c r="R111" s="7"/>
      <c r="S111" s="7"/>
      <c r="T111" s="7"/>
    </row>
    <row r="112" spans="1:20" ht="15" customHeight="1" x14ac:dyDescent="0.3">
      <c r="A112" s="10"/>
      <c r="B112" s="1" t="s">
        <v>11</v>
      </c>
      <c r="C112" s="3"/>
      <c r="D112" s="3">
        <v>5.36137</v>
      </c>
      <c r="E112" s="3"/>
      <c r="F112" s="3">
        <v>6.2123900000000001</v>
      </c>
      <c r="G112" s="3"/>
      <c r="H112" s="3">
        <v>6.0613599999999996</v>
      </c>
      <c r="I112" s="3"/>
      <c r="J112" s="3">
        <v>5.5939699999999997</v>
      </c>
      <c r="K112" s="3"/>
      <c r="L112" s="3">
        <v>4.8575299999999997</v>
      </c>
      <c r="M112" s="3"/>
      <c r="N112" s="3">
        <v>4.4312899999999997</v>
      </c>
      <c r="O112" s="3"/>
      <c r="P112" s="3">
        <f>AVERAGE(D112,F112,H112,J112,L112,N112)</f>
        <v>5.4196516666666668</v>
      </c>
      <c r="R112" s="7"/>
      <c r="S112" s="7"/>
      <c r="T112" s="7"/>
    </row>
    <row r="113" spans="1:20" ht="15" customHeight="1" x14ac:dyDescent="0.3">
      <c r="A113" s="10"/>
      <c r="B113" s="2" t="s">
        <v>12</v>
      </c>
      <c r="C113" s="4"/>
      <c r="D113" s="4">
        <v>5.4131900000000002</v>
      </c>
      <c r="E113" s="4"/>
      <c r="F113" s="4">
        <v>6.2545000000000002</v>
      </c>
      <c r="G113" s="4"/>
      <c r="H113" s="4">
        <v>6.0812799999999996</v>
      </c>
      <c r="I113" s="4"/>
      <c r="J113" s="4">
        <v>5.6418999999999997</v>
      </c>
      <c r="K113" s="4"/>
      <c r="L113" s="4">
        <v>4.8334400000000004</v>
      </c>
      <c r="M113" s="4"/>
      <c r="N113" s="4">
        <v>4.4951999999999996</v>
      </c>
      <c r="O113" s="4"/>
      <c r="P113" s="4">
        <f>AVERAGE(D113,F113,H113,J113,L113,N113)</f>
        <v>5.4532516666666666</v>
      </c>
      <c r="R113" s="7"/>
      <c r="S113" s="7"/>
      <c r="T113" s="7"/>
    </row>
    <row r="114" spans="1:20" ht="15" customHeight="1" x14ac:dyDescent="0.3">
      <c r="A114" s="10"/>
      <c r="B114" s="11" t="s">
        <v>14</v>
      </c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R114" s="7"/>
      <c r="S114" s="7"/>
      <c r="T114" s="7"/>
    </row>
    <row r="115" spans="1:20" ht="15" customHeight="1" x14ac:dyDescent="0.3">
      <c r="A115" s="10"/>
      <c r="B115" s="12" t="s">
        <v>0</v>
      </c>
      <c r="C115" s="12" t="s">
        <v>1</v>
      </c>
      <c r="D115" s="12"/>
      <c r="E115" s="12" t="s">
        <v>2</v>
      </c>
      <c r="F115" s="12"/>
      <c r="G115" s="12" t="s">
        <v>3</v>
      </c>
      <c r="H115" s="12"/>
      <c r="I115" s="12" t="s">
        <v>4</v>
      </c>
      <c r="J115" s="12"/>
      <c r="K115" s="12" t="s">
        <v>5</v>
      </c>
      <c r="L115" s="12"/>
      <c r="M115" s="12" t="s">
        <v>6</v>
      </c>
      <c r="N115" s="12"/>
      <c r="O115" s="12" t="s">
        <v>7</v>
      </c>
      <c r="P115" s="12"/>
      <c r="R115" s="7"/>
      <c r="S115" s="7"/>
      <c r="T115" s="7"/>
    </row>
    <row r="116" spans="1:20" ht="15" customHeight="1" x14ac:dyDescent="0.3">
      <c r="A116" s="10"/>
      <c r="B116" s="13"/>
      <c r="C116" s="2" t="s">
        <v>15</v>
      </c>
      <c r="D116" s="2" t="s">
        <v>16</v>
      </c>
      <c r="E116" s="2" t="s">
        <v>15</v>
      </c>
      <c r="F116" s="2" t="s">
        <v>16</v>
      </c>
      <c r="G116" s="2" t="s">
        <v>15</v>
      </c>
      <c r="H116" s="2" t="s">
        <v>16</v>
      </c>
      <c r="I116" s="2" t="s">
        <v>15</v>
      </c>
      <c r="J116" s="2" t="s">
        <v>16</v>
      </c>
      <c r="K116" s="2" t="s">
        <v>15</v>
      </c>
      <c r="L116" s="2" t="s">
        <v>16</v>
      </c>
      <c r="M116" s="2" t="s">
        <v>15</v>
      </c>
      <c r="N116" s="2" t="s">
        <v>16</v>
      </c>
      <c r="O116" s="2" t="s">
        <v>15</v>
      </c>
      <c r="P116" s="2" t="s">
        <v>16</v>
      </c>
      <c r="R116" s="7"/>
      <c r="S116" s="7"/>
      <c r="T116" s="7"/>
    </row>
    <row r="117" spans="1:20" ht="15" customHeight="1" x14ac:dyDescent="0.3">
      <c r="A117" s="10"/>
      <c r="B117" s="1" t="s">
        <v>8</v>
      </c>
      <c r="C117" s="3"/>
      <c r="D117" s="3">
        <v>4.4249700000000001</v>
      </c>
      <c r="E117" s="3"/>
      <c r="F117" s="3">
        <v>5.5333399999999999</v>
      </c>
      <c r="G117" s="3"/>
      <c r="H117" s="3">
        <v>5.1902999999999997</v>
      </c>
      <c r="I117" s="3"/>
      <c r="J117" s="3">
        <v>4.8660300000000003</v>
      </c>
      <c r="K117" s="3"/>
      <c r="L117" s="3">
        <v>3.8866299999999998</v>
      </c>
      <c r="M117" s="3"/>
      <c r="N117" s="3">
        <v>3.6355400000000002</v>
      </c>
      <c r="O117" s="3"/>
      <c r="P117" s="3">
        <f>AVERAGE(D117,F117,H117,J117,L117,N117)</f>
        <v>4.5894683333333335</v>
      </c>
      <c r="R117" s="7"/>
      <c r="S117" s="7"/>
      <c r="T117" s="7"/>
    </row>
    <row r="118" spans="1:20" ht="15" customHeight="1" x14ac:dyDescent="0.3">
      <c r="A118" s="10"/>
      <c r="B118" s="1" t="s">
        <v>9</v>
      </c>
      <c r="C118" s="3"/>
      <c r="D118" s="3">
        <v>4.66181</v>
      </c>
      <c r="E118" s="3"/>
      <c r="F118" s="3">
        <v>5.6358699999999997</v>
      </c>
      <c r="G118" s="3"/>
      <c r="H118" s="3">
        <v>5.5303500000000003</v>
      </c>
      <c r="I118" s="3"/>
      <c r="J118" s="3">
        <v>4.9067100000000003</v>
      </c>
      <c r="K118" s="3"/>
      <c r="L118" s="3">
        <v>4.1264799999999999</v>
      </c>
      <c r="M118" s="3"/>
      <c r="N118" s="3">
        <v>3.8291499999999998</v>
      </c>
      <c r="O118" s="3"/>
      <c r="P118" s="3">
        <f>AVERAGE(D118,F118,H118,J118,L118,N118)</f>
        <v>4.7817283333333336</v>
      </c>
      <c r="R118" s="7"/>
      <c r="S118" s="7"/>
      <c r="T118" s="7"/>
    </row>
    <row r="119" spans="1:20" ht="15" customHeight="1" x14ac:dyDescent="0.3">
      <c r="A119" s="10"/>
      <c r="B119" s="1" t="s">
        <v>10</v>
      </c>
      <c r="C119" s="3"/>
      <c r="D119" s="3">
        <v>4.8665000000000003</v>
      </c>
      <c r="E119" s="3"/>
      <c r="F119" s="3">
        <v>5.8399900000000002</v>
      </c>
      <c r="G119" s="3"/>
      <c r="H119" s="3">
        <v>5.65158</v>
      </c>
      <c r="I119" s="3"/>
      <c r="J119" s="3">
        <v>5.07212</v>
      </c>
      <c r="K119" s="3"/>
      <c r="L119" s="3">
        <v>4.3304900000000002</v>
      </c>
      <c r="M119" s="3"/>
      <c r="N119" s="3">
        <v>3.9704700000000002</v>
      </c>
      <c r="O119" s="3"/>
      <c r="P119" s="3">
        <f>AVERAGE(D119,F119,H119,J119,L119,N119)</f>
        <v>4.9551916666666669</v>
      </c>
      <c r="R119" s="7"/>
      <c r="S119" s="7"/>
      <c r="T119" s="7"/>
    </row>
    <row r="120" spans="1:20" ht="15" customHeight="1" x14ac:dyDescent="0.3">
      <c r="A120" s="10"/>
      <c r="B120" s="1" t="s">
        <v>11</v>
      </c>
      <c r="C120" s="3"/>
      <c r="D120" s="3">
        <v>4.9245000000000001</v>
      </c>
      <c r="E120" s="3"/>
      <c r="F120" s="3">
        <v>5.9912099999999997</v>
      </c>
      <c r="G120" s="3"/>
      <c r="H120" s="3">
        <v>5.8172800000000002</v>
      </c>
      <c r="I120" s="3"/>
      <c r="J120" s="3">
        <v>5.1707700000000001</v>
      </c>
      <c r="K120" s="3"/>
      <c r="L120" s="3">
        <v>4.4135600000000004</v>
      </c>
      <c r="M120" s="3"/>
      <c r="N120" s="3">
        <v>4.1507300000000003</v>
      </c>
      <c r="O120" s="3"/>
      <c r="P120" s="3">
        <f>AVERAGE(D120,F120,H120,J120,L120,N120)</f>
        <v>5.0780083333333339</v>
      </c>
      <c r="R120" s="7"/>
      <c r="S120" s="7"/>
      <c r="T120" s="7"/>
    </row>
    <row r="121" spans="1:20" ht="15" customHeight="1" x14ac:dyDescent="0.3">
      <c r="A121" s="10"/>
      <c r="B121" s="2" t="s">
        <v>12</v>
      </c>
      <c r="C121" s="4"/>
      <c r="D121" s="4">
        <v>4.8952299999999997</v>
      </c>
      <c r="E121" s="4"/>
      <c r="F121" s="4">
        <v>6.0022099999999998</v>
      </c>
      <c r="G121" s="4"/>
      <c r="H121" s="4">
        <v>5.8484299999999996</v>
      </c>
      <c r="I121" s="4"/>
      <c r="J121" s="4">
        <v>5.3302800000000001</v>
      </c>
      <c r="K121" s="4"/>
      <c r="L121" s="4">
        <v>4.4426100000000002</v>
      </c>
      <c r="M121" s="4"/>
      <c r="N121" s="4">
        <v>4.1807600000000003</v>
      </c>
      <c r="O121" s="4"/>
      <c r="P121" s="4">
        <f>AVERAGE(D121,F121,H121,J121,L121,N121)</f>
        <v>5.1165866666666666</v>
      </c>
      <c r="R121" s="7"/>
      <c r="S121" s="7"/>
      <c r="T121" s="7"/>
    </row>
    <row r="122" spans="1:20" ht="15" customHeight="1" x14ac:dyDescent="0.3">
      <c r="R122" s="7"/>
      <c r="S122" s="7"/>
      <c r="T122" s="7"/>
    </row>
    <row r="123" spans="1:20" ht="15" customHeight="1" x14ac:dyDescent="0.3">
      <c r="R123" s="7"/>
      <c r="S123" s="7"/>
      <c r="T123" s="7"/>
    </row>
    <row r="124" spans="1:20" ht="15" customHeight="1" x14ac:dyDescent="0.3">
      <c r="A124" s="9" t="s">
        <v>38</v>
      </c>
      <c r="B124" s="11" t="s">
        <v>13</v>
      </c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R124" s="7"/>
      <c r="S124" s="7"/>
      <c r="T124" s="7"/>
    </row>
    <row r="125" spans="1:20" ht="15" customHeight="1" x14ac:dyDescent="0.3">
      <c r="A125" s="10"/>
      <c r="B125" s="12" t="s">
        <v>0</v>
      </c>
      <c r="C125" s="12" t="s">
        <v>1</v>
      </c>
      <c r="D125" s="12"/>
      <c r="E125" s="12" t="s">
        <v>2</v>
      </c>
      <c r="F125" s="12"/>
      <c r="G125" s="12" t="s">
        <v>3</v>
      </c>
      <c r="H125" s="12"/>
      <c r="I125" s="12" t="s">
        <v>4</v>
      </c>
      <c r="J125" s="12"/>
      <c r="K125" s="12" t="s">
        <v>5</v>
      </c>
      <c r="L125" s="12"/>
      <c r="M125" s="12" t="s">
        <v>6</v>
      </c>
      <c r="N125" s="12"/>
      <c r="O125" s="12" t="s">
        <v>7</v>
      </c>
      <c r="P125" s="12"/>
      <c r="R125" s="7"/>
      <c r="S125" s="7"/>
      <c r="T125" s="7"/>
    </row>
    <row r="126" spans="1:20" ht="15" customHeight="1" x14ac:dyDescent="0.3">
      <c r="A126" s="10"/>
      <c r="B126" s="13"/>
      <c r="C126" s="2" t="s">
        <v>15</v>
      </c>
      <c r="D126" s="2" t="s">
        <v>16</v>
      </c>
      <c r="E126" s="2" t="s">
        <v>15</v>
      </c>
      <c r="F126" s="2" t="s">
        <v>16</v>
      </c>
      <c r="G126" s="2" t="s">
        <v>15</v>
      </c>
      <c r="H126" s="2" t="s">
        <v>16</v>
      </c>
      <c r="I126" s="2" t="s">
        <v>15</v>
      </c>
      <c r="J126" s="2" t="s">
        <v>16</v>
      </c>
      <c r="K126" s="2" t="s">
        <v>15</v>
      </c>
      <c r="L126" s="2" t="s">
        <v>16</v>
      </c>
      <c r="M126" s="2" t="s">
        <v>15</v>
      </c>
      <c r="N126" s="2" t="s">
        <v>16</v>
      </c>
      <c r="O126" s="2" t="s">
        <v>15</v>
      </c>
      <c r="P126" s="2" t="s">
        <v>16</v>
      </c>
      <c r="R126" s="7"/>
      <c r="S126" s="7"/>
      <c r="T126" s="7"/>
    </row>
    <row r="127" spans="1:20" ht="15" customHeight="1" x14ac:dyDescent="0.3">
      <c r="A127" s="10"/>
      <c r="B127" s="1" t="s">
        <v>8</v>
      </c>
      <c r="C127" s="3"/>
      <c r="D127" s="3">
        <v>4.9519799999999998</v>
      </c>
      <c r="E127" s="3"/>
      <c r="F127" s="3">
        <v>5.9587399999999997</v>
      </c>
      <c r="G127" s="3"/>
      <c r="H127" s="3">
        <v>5.6865300000000003</v>
      </c>
      <c r="I127" s="3"/>
      <c r="J127" s="3">
        <v>5.1108099999999999</v>
      </c>
      <c r="K127" s="3"/>
      <c r="L127" s="3">
        <v>4.7624199999999997</v>
      </c>
      <c r="M127" s="3"/>
      <c r="N127" s="3">
        <v>4.1029</v>
      </c>
      <c r="O127" s="3"/>
      <c r="P127" s="3">
        <f>AVERAGE(D127,F127,H127,J127,L127,N127)</f>
        <v>5.0955633333333337</v>
      </c>
      <c r="R127" s="7"/>
      <c r="S127" s="7"/>
      <c r="T127" s="7"/>
    </row>
    <row r="128" spans="1:20" ht="15" customHeight="1" x14ac:dyDescent="0.3">
      <c r="A128" s="10"/>
      <c r="B128" s="1" t="s">
        <v>9</v>
      </c>
      <c r="C128" s="3"/>
      <c r="D128" s="3">
        <v>5.0779899999999998</v>
      </c>
      <c r="E128" s="3"/>
      <c r="F128" s="3">
        <v>6.0375899999999998</v>
      </c>
      <c r="G128" s="3"/>
      <c r="H128" s="3">
        <v>5.8101900000000004</v>
      </c>
      <c r="I128" s="3"/>
      <c r="J128" s="3">
        <v>5.2471800000000002</v>
      </c>
      <c r="K128" s="3"/>
      <c r="L128" s="3">
        <v>4.8608700000000002</v>
      </c>
      <c r="M128" s="3"/>
      <c r="N128" s="3">
        <v>4.2529199999999996</v>
      </c>
      <c r="O128" s="3"/>
      <c r="P128" s="3">
        <f>AVERAGE(D128,F128,H128,J128,L128,N128)</f>
        <v>5.2144566666666661</v>
      </c>
      <c r="R128" s="7"/>
      <c r="S128" s="7"/>
      <c r="T128" s="7"/>
    </row>
    <row r="129" spans="1:20" ht="15" customHeight="1" x14ac:dyDescent="0.3">
      <c r="A129" s="10"/>
      <c r="B129" s="1" t="s">
        <v>10</v>
      </c>
      <c r="C129" s="3"/>
      <c r="D129" s="3">
        <v>5.1763500000000002</v>
      </c>
      <c r="E129" s="3"/>
      <c r="F129" s="3">
        <v>6.1347899999999997</v>
      </c>
      <c r="G129" s="3"/>
      <c r="H129" s="3">
        <v>5.9769600000000001</v>
      </c>
      <c r="I129" s="3"/>
      <c r="J129" s="3">
        <v>5.3600399999999997</v>
      </c>
      <c r="K129" s="3"/>
      <c r="L129" s="3">
        <v>5.03362</v>
      </c>
      <c r="M129" s="3"/>
      <c r="N129" s="3">
        <v>4.3368500000000001</v>
      </c>
      <c r="O129" s="3"/>
      <c r="P129" s="3">
        <f>AVERAGE(D129,F129,H129,J129,L129,N129)</f>
        <v>5.3364349999999989</v>
      </c>
      <c r="R129" s="7"/>
      <c r="S129" s="7"/>
      <c r="T129" s="7"/>
    </row>
    <row r="130" spans="1:20" ht="15" customHeight="1" x14ac:dyDescent="0.3">
      <c r="A130" s="10"/>
      <c r="B130" s="1" t="s">
        <v>11</v>
      </c>
      <c r="C130" s="3"/>
      <c r="D130" s="3">
        <v>5.2169400000000001</v>
      </c>
      <c r="E130" s="3"/>
      <c r="F130" s="3">
        <v>6.1267699999999996</v>
      </c>
      <c r="G130" s="3"/>
      <c r="H130" s="3">
        <v>5.9864499999999996</v>
      </c>
      <c r="I130" s="3"/>
      <c r="J130" s="3">
        <v>5.33589</v>
      </c>
      <c r="K130" s="3"/>
      <c r="L130" s="3">
        <v>5.1133199999999999</v>
      </c>
      <c r="M130" s="3"/>
      <c r="N130" s="3">
        <v>4.3840300000000001</v>
      </c>
      <c r="O130" s="3"/>
      <c r="P130" s="3">
        <f>AVERAGE(D130,F130,H130,J130,L130,N130)</f>
        <v>5.3605666666666671</v>
      </c>
      <c r="R130" s="7"/>
      <c r="S130" s="7"/>
      <c r="T130" s="7"/>
    </row>
    <row r="131" spans="1:20" ht="15" customHeight="1" x14ac:dyDescent="0.3">
      <c r="A131" s="10"/>
      <c r="B131" s="2" t="s">
        <v>12</v>
      </c>
      <c r="C131" s="4"/>
      <c r="D131" s="4">
        <v>5.2286099999999998</v>
      </c>
      <c r="E131" s="4"/>
      <c r="F131" s="4">
        <v>6.20383</v>
      </c>
      <c r="G131" s="4"/>
      <c r="H131" s="4">
        <v>5.9978999999999996</v>
      </c>
      <c r="I131" s="4"/>
      <c r="J131" s="4">
        <v>5.39696</v>
      </c>
      <c r="K131" s="4"/>
      <c r="L131" s="4">
        <v>5.09293</v>
      </c>
      <c r="M131" s="4"/>
      <c r="N131" s="4">
        <v>4.4227499999999997</v>
      </c>
      <c r="O131" s="4"/>
      <c r="P131" s="4">
        <f>AVERAGE(D131,F131,H131,J131,L131,N131)</f>
        <v>5.3904966666666665</v>
      </c>
      <c r="R131" s="7"/>
      <c r="S131" s="7"/>
      <c r="T131" s="7"/>
    </row>
    <row r="132" spans="1:20" ht="15" customHeight="1" x14ac:dyDescent="0.3">
      <c r="A132" s="10"/>
      <c r="B132" s="11" t="s">
        <v>14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R132" s="7"/>
      <c r="S132" s="7"/>
      <c r="T132" s="7"/>
    </row>
    <row r="133" spans="1:20" ht="15" customHeight="1" x14ac:dyDescent="0.3">
      <c r="A133" s="10"/>
      <c r="B133" s="12" t="s">
        <v>0</v>
      </c>
      <c r="C133" s="12" t="s">
        <v>1</v>
      </c>
      <c r="D133" s="12"/>
      <c r="E133" s="12" t="s">
        <v>2</v>
      </c>
      <c r="F133" s="12"/>
      <c r="G133" s="12" t="s">
        <v>3</v>
      </c>
      <c r="H133" s="12"/>
      <c r="I133" s="12" t="s">
        <v>4</v>
      </c>
      <c r="J133" s="12"/>
      <c r="K133" s="12" t="s">
        <v>5</v>
      </c>
      <c r="L133" s="12"/>
      <c r="M133" s="12" t="s">
        <v>6</v>
      </c>
      <c r="N133" s="12"/>
      <c r="O133" s="12" t="s">
        <v>7</v>
      </c>
      <c r="P133" s="12"/>
      <c r="R133" s="7"/>
      <c r="S133" s="7"/>
      <c r="T133" s="7"/>
    </row>
    <row r="134" spans="1:20" ht="15" customHeight="1" x14ac:dyDescent="0.3">
      <c r="A134" s="10"/>
      <c r="B134" s="13"/>
      <c r="C134" s="2" t="s">
        <v>15</v>
      </c>
      <c r="D134" s="2" t="s">
        <v>16</v>
      </c>
      <c r="E134" s="2" t="s">
        <v>15</v>
      </c>
      <c r="F134" s="2" t="s">
        <v>16</v>
      </c>
      <c r="G134" s="2" t="s">
        <v>15</v>
      </c>
      <c r="H134" s="2" t="s">
        <v>16</v>
      </c>
      <c r="I134" s="2" t="s">
        <v>15</v>
      </c>
      <c r="J134" s="2" t="s">
        <v>16</v>
      </c>
      <c r="K134" s="2" t="s">
        <v>15</v>
      </c>
      <c r="L134" s="2" t="s">
        <v>16</v>
      </c>
      <c r="M134" s="2" t="s">
        <v>15</v>
      </c>
      <c r="N134" s="2" t="s">
        <v>16</v>
      </c>
      <c r="O134" s="2" t="s">
        <v>15</v>
      </c>
      <c r="P134" s="2" t="s">
        <v>16</v>
      </c>
      <c r="R134" s="7"/>
      <c r="S134" s="7"/>
      <c r="T134" s="7"/>
    </row>
    <row r="135" spans="1:20" ht="15" customHeight="1" x14ac:dyDescent="0.3">
      <c r="A135" s="10"/>
      <c r="B135" s="1" t="s">
        <v>8</v>
      </c>
      <c r="C135" s="3"/>
      <c r="D135" s="3">
        <v>4.4972899999999996</v>
      </c>
      <c r="E135" s="3"/>
      <c r="F135" s="3">
        <v>5.7499900000000004</v>
      </c>
      <c r="G135" s="3"/>
      <c r="H135" s="3">
        <v>5.4779799999999996</v>
      </c>
      <c r="I135" s="3"/>
      <c r="J135" s="3">
        <v>4.7991099999999998</v>
      </c>
      <c r="K135" s="3"/>
      <c r="L135" s="3">
        <v>4.3675600000000001</v>
      </c>
      <c r="M135" s="3"/>
      <c r="N135" s="3">
        <v>3.8624499999999999</v>
      </c>
      <c r="O135" s="3"/>
      <c r="P135" s="3">
        <f>AVERAGE(D135,F135,H135,J135,L135,N135)</f>
        <v>4.792396666666666</v>
      </c>
      <c r="R135" s="7"/>
      <c r="S135" s="7"/>
      <c r="T135" s="7"/>
    </row>
    <row r="136" spans="1:20" ht="15" customHeight="1" x14ac:dyDescent="0.3">
      <c r="A136" s="10"/>
      <c r="B136" s="1" t="s">
        <v>9</v>
      </c>
      <c r="C136" s="3"/>
      <c r="D136" s="3">
        <v>4.53803</v>
      </c>
      <c r="E136" s="3"/>
      <c r="F136" s="3">
        <v>5.7977699999999999</v>
      </c>
      <c r="G136" s="3"/>
      <c r="H136" s="3">
        <v>5.5980499999999997</v>
      </c>
      <c r="I136" s="3"/>
      <c r="J136" s="3">
        <v>4.8517099999999997</v>
      </c>
      <c r="K136" s="3"/>
      <c r="L136" s="3">
        <v>4.5068400000000004</v>
      </c>
      <c r="M136" s="3"/>
      <c r="N136" s="3">
        <v>3.93241</v>
      </c>
      <c r="O136" s="3"/>
      <c r="P136" s="3">
        <f>AVERAGE(D136,F136,H136,J136,L136,N136)</f>
        <v>4.8708016666666669</v>
      </c>
      <c r="R136" s="7"/>
      <c r="S136" s="7"/>
      <c r="T136" s="7"/>
    </row>
    <row r="137" spans="1:20" ht="15" customHeight="1" x14ac:dyDescent="0.3">
      <c r="A137" s="10"/>
      <c r="B137" s="1" t="s">
        <v>10</v>
      </c>
      <c r="C137" s="3"/>
      <c r="D137" s="3">
        <v>4.7687499999999998</v>
      </c>
      <c r="E137" s="3"/>
      <c r="F137" s="3">
        <v>5.87601</v>
      </c>
      <c r="G137" s="3"/>
      <c r="H137" s="3">
        <v>5.6713199999999997</v>
      </c>
      <c r="I137" s="3"/>
      <c r="J137" s="3">
        <v>4.9405200000000002</v>
      </c>
      <c r="K137" s="3"/>
      <c r="L137" s="3">
        <v>4.6174600000000003</v>
      </c>
      <c r="M137" s="3"/>
      <c r="N137" s="3">
        <v>4.0107900000000001</v>
      </c>
      <c r="O137" s="3"/>
      <c r="P137" s="3">
        <f>AVERAGE(D137,F137,H137,J137,L137,N137)</f>
        <v>4.9808083333333331</v>
      </c>
      <c r="R137" s="7"/>
      <c r="S137" s="7"/>
      <c r="T137" s="7"/>
    </row>
    <row r="138" spans="1:20" ht="15" customHeight="1" x14ac:dyDescent="0.3">
      <c r="A138" s="10"/>
      <c r="B138" s="1" t="s">
        <v>11</v>
      </c>
      <c r="C138" s="3"/>
      <c r="D138" s="3">
        <v>4.6977500000000001</v>
      </c>
      <c r="E138" s="3"/>
      <c r="F138" s="3">
        <v>6.0045099999999998</v>
      </c>
      <c r="G138" s="3"/>
      <c r="H138" s="3">
        <v>5.6419800000000002</v>
      </c>
      <c r="I138" s="3"/>
      <c r="J138" s="3">
        <v>5.0177899999999998</v>
      </c>
      <c r="K138" s="3"/>
      <c r="L138" s="3">
        <v>4.5989500000000003</v>
      </c>
      <c r="M138" s="3"/>
      <c r="N138" s="3">
        <v>3.9584000000000001</v>
      </c>
      <c r="O138" s="3"/>
      <c r="P138" s="3">
        <f>AVERAGE(D138,F138,H138,J138,L138,N138)</f>
        <v>4.9865633333333337</v>
      </c>
      <c r="R138" s="7"/>
      <c r="S138" s="7"/>
      <c r="T138" s="7"/>
    </row>
    <row r="139" spans="1:20" ht="15" customHeight="1" x14ac:dyDescent="0.3">
      <c r="A139" s="10"/>
      <c r="B139" s="2" t="s">
        <v>12</v>
      </c>
      <c r="C139" s="4"/>
      <c r="D139" s="4">
        <v>4.7397299999999998</v>
      </c>
      <c r="E139" s="4"/>
      <c r="F139" s="4">
        <v>5.8635700000000002</v>
      </c>
      <c r="G139" s="4"/>
      <c r="H139" s="4">
        <v>5.75807</v>
      </c>
      <c r="I139" s="4"/>
      <c r="J139" s="4">
        <v>4.9176399999999996</v>
      </c>
      <c r="K139" s="4"/>
      <c r="L139" s="4">
        <v>4.70146</v>
      </c>
      <c r="M139" s="4"/>
      <c r="N139" s="4">
        <v>4.1309100000000001</v>
      </c>
      <c r="O139" s="4"/>
      <c r="P139" s="4">
        <f>AVERAGE(D139,F139,H139,J139,L139,N139)</f>
        <v>5.0185633333333337</v>
      </c>
      <c r="R139" s="7"/>
      <c r="S139" s="7"/>
      <c r="T139" s="7"/>
    </row>
    <row r="142" spans="1:20" ht="15" customHeight="1" x14ac:dyDescent="0.3">
      <c r="A142" s="9" t="s">
        <v>51</v>
      </c>
      <c r="B142" s="11" t="s">
        <v>13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</row>
    <row r="143" spans="1:20" ht="15" customHeight="1" x14ac:dyDescent="0.3">
      <c r="A143" s="10"/>
      <c r="B143" s="12" t="s">
        <v>0</v>
      </c>
      <c r="C143" s="12" t="s">
        <v>1</v>
      </c>
      <c r="D143" s="12"/>
      <c r="E143" s="12" t="s">
        <v>2</v>
      </c>
      <c r="F143" s="12"/>
      <c r="G143" s="12" t="s">
        <v>3</v>
      </c>
      <c r="H143" s="12"/>
      <c r="I143" s="12" t="s">
        <v>4</v>
      </c>
      <c r="J143" s="12"/>
      <c r="K143" s="12" t="s">
        <v>5</v>
      </c>
      <c r="L143" s="12"/>
      <c r="M143" s="12" t="s">
        <v>6</v>
      </c>
      <c r="N143" s="12"/>
      <c r="O143" s="12" t="s">
        <v>7</v>
      </c>
      <c r="P143" s="12"/>
    </row>
    <row r="144" spans="1:20" ht="15" customHeight="1" x14ac:dyDescent="0.3">
      <c r="A144" s="10"/>
      <c r="B144" s="13"/>
      <c r="C144" s="2" t="s">
        <v>15</v>
      </c>
      <c r="D144" s="2" t="s">
        <v>16</v>
      </c>
      <c r="E144" s="2" t="s">
        <v>15</v>
      </c>
      <c r="F144" s="2" t="s">
        <v>16</v>
      </c>
      <c r="G144" s="2" t="s">
        <v>15</v>
      </c>
      <c r="H144" s="2" t="s">
        <v>16</v>
      </c>
      <c r="I144" s="2" t="s">
        <v>15</v>
      </c>
      <c r="J144" s="2" t="s">
        <v>16</v>
      </c>
      <c r="K144" s="2" t="s">
        <v>15</v>
      </c>
      <c r="L144" s="2" t="s">
        <v>16</v>
      </c>
      <c r="M144" s="2" t="s">
        <v>15</v>
      </c>
      <c r="N144" s="2" t="s">
        <v>16</v>
      </c>
      <c r="O144" s="2" t="s">
        <v>15</v>
      </c>
      <c r="P144" s="2" t="s">
        <v>16</v>
      </c>
    </row>
    <row r="145" spans="1:16" ht="15" customHeight="1" x14ac:dyDescent="0.3">
      <c r="A145" s="10"/>
      <c r="B145" s="1" t="s">
        <v>31</v>
      </c>
      <c r="C145" s="3"/>
      <c r="D145" s="3">
        <v>5.1425200000000002</v>
      </c>
      <c r="E145" s="3"/>
      <c r="F145" s="3">
        <v>6.1639099999999996</v>
      </c>
      <c r="G145" s="3"/>
      <c r="H145" s="3">
        <v>5.8667699999999998</v>
      </c>
      <c r="I145" s="3"/>
      <c r="J145" s="3">
        <v>5.2913699999999997</v>
      </c>
      <c r="K145" s="3"/>
      <c r="L145" s="3">
        <v>4.87432</v>
      </c>
      <c r="M145" s="3"/>
      <c r="N145" s="3">
        <v>4.2484099999999998</v>
      </c>
      <c r="O145" s="3"/>
      <c r="P145" s="3">
        <f>AVERAGE(D145,F145,H145,J145,L145,N145)</f>
        <v>5.2645499999999998</v>
      </c>
    </row>
    <row r="146" spans="1:16" ht="15" customHeight="1" x14ac:dyDescent="0.3">
      <c r="A146" s="10"/>
      <c r="B146" s="1" t="s">
        <v>32</v>
      </c>
      <c r="C146" s="3"/>
      <c r="D146" s="3">
        <v>5.2753899999999998</v>
      </c>
      <c r="E146" s="3"/>
      <c r="F146" s="3">
        <v>6.2600499999999997</v>
      </c>
      <c r="G146" s="3"/>
      <c r="H146" s="3">
        <v>6.0030799999999997</v>
      </c>
      <c r="I146" s="3"/>
      <c r="J146" s="3">
        <v>5.4375499999999999</v>
      </c>
      <c r="K146" s="3"/>
      <c r="L146" s="3">
        <v>5.0748699999999998</v>
      </c>
      <c r="M146" s="3"/>
      <c r="N146" s="3">
        <v>4.4670699999999997</v>
      </c>
      <c r="O146" s="3"/>
      <c r="P146" s="3">
        <f>AVERAGE(D146,F146,H146,J146,L146,N146)</f>
        <v>5.419668333333334</v>
      </c>
    </row>
    <row r="147" spans="1:16" ht="15" customHeight="1" x14ac:dyDescent="0.3">
      <c r="A147" s="10"/>
      <c r="B147" s="1" t="s">
        <v>33</v>
      </c>
      <c r="C147" s="3"/>
      <c r="D147" s="3">
        <v>5.4368299999999996</v>
      </c>
      <c r="E147" s="3"/>
      <c r="F147" s="3">
        <v>6.3815799999999996</v>
      </c>
      <c r="G147" s="3"/>
      <c r="H147" s="3">
        <v>6.1467700000000001</v>
      </c>
      <c r="I147" s="3"/>
      <c r="J147" s="3">
        <v>5.6098600000000003</v>
      </c>
      <c r="K147" s="3"/>
      <c r="L147" s="3">
        <v>5.2762399999999996</v>
      </c>
      <c r="M147" s="3"/>
      <c r="N147" s="3">
        <v>4.6169399999999996</v>
      </c>
      <c r="O147" s="3"/>
      <c r="P147" s="3">
        <f>AVERAGE(D147,F147,H147,J147,L147,N147)</f>
        <v>5.5780366666666668</v>
      </c>
    </row>
    <row r="148" spans="1:16" ht="15" customHeight="1" x14ac:dyDescent="0.3">
      <c r="A148" s="10"/>
      <c r="B148" s="1" t="s">
        <v>34</v>
      </c>
      <c r="C148" s="3"/>
      <c r="D148" s="3">
        <v>5.5129400000000004</v>
      </c>
      <c r="E148" s="3"/>
      <c r="F148" s="3">
        <v>6.4376899999999999</v>
      </c>
      <c r="G148" s="3"/>
      <c r="H148" s="3">
        <v>6.2129799999999999</v>
      </c>
      <c r="I148" s="3"/>
      <c r="J148" s="3">
        <v>5.65036</v>
      </c>
      <c r="K148" s="3"/>
      <c r="L148" s="3">
        <v>5.3873899999999999</v>
      </c>
      <c r="M148" s="3"/>
      <c r="N148" s="3">
        <v>4.6532299999999998</v>
      </c>
      <c r="O148" s="3"/>
      <c r="P148" s="3">
        <f>AVERAGE(D148,F148,H148,J148,L148,N148)</f>
        <v>5.6424316666666661</v>
      </c>
    </row>
    <row r="149" spans="1:16" ht="15" customHeight="1" x14ac:dyDescent="0.3">
      <c r="A149" s="10"/>
      <c r="B149" s="2" t="s">
        <v>35</v>
      </c>
      <c r="C149" s="4"/>
      <c r="D149" s="4">
        <v>5.5522299999999998</v>
      </c>
      <c r="E149" s="4"/>
      <c r="F149" s="4">
        <v>6.4609100000000002</v>
      </c>
      <c r="G149" s="4"/>
      <c r="H149" s="4">
        <v>6.2358000000000002</v>
      </c>
      <c r="I149" s="4"/>
      <c r="J149" s="4">
        <v>5.7166399999999999</v>
      </c>
      <c r="K149" s="4"/>
      <c r="L149" s="4">
        <v>5.4241799999999998</v>
      </c>
      <c r="M149" s="4"/>
      <c r="N149" s="4">
        <v>4.7166100000000002</v>
      </c>
      <c r="O149" s="4"/>
      <c r="P149" s="4">
        <f>AVERAGE(D149,F149,H149,J149,L149,N149)</f>
        <v>5.6843950000000012</v>
      </c>
    </row>
    <row r="150" spans="1:16" ht="15" customHeight="1" x14ac:dyDescent="0.3">
      <c r="A150" s="10"/>
      <c r="B150" s="11" t="s">
        <v>14</v>
      </c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</row>
    <row r="151" spans="1:16" ht="15" customHeight="1" x14ac:dyDescent="0.3">
      <c r="A151" s="10"/>
      <c r="B151" s="12" t="s">
        <v>0</v>
      </c>
      <c r="C151" s="12" t="s">
        <v>1</v>
      </c>
      <c r="D151" s="12"/>
      <c r="E151" s="12" t="s">
        <v>2</v>
      </c>
      <c r="F151" s="12"/>
      <c r="G151" s="12" t="s">
        <v>3</v>
      </c>
      <c r="H151" s="12"/>
      <c r="I151" s="12" t="s">
        <v>4</v>
      </c>
      <c r="J151" s="12"/>
      <c r="K151" s="12" t="s">
        <v>5</v>
      </c>
      <c r="L151" s="12"/>
      <c r="M151" s="12" t="s">
        <v>6</v>
      </c>
      <c r="N151" s="12"/>
      <c r="O151" s="12" t="s">
        <v>7</v>
      </c>
      <c r="P151" s="12"/>
    </row>
    <row r="152" spans="1:16" ht="15" customHeight="1" x14ac:dyDescent="0.3">
      <c r="A152" s="10"/>
      <c r="B152" s="13"/>
      <c r="C152" s="2" t="s">
        <v>15</v>
      </c>
      <c r="D152" s="2" t="s">
        <v>16</v>
      </c>
      <c r="E152" s="2" t="s">
        <v>15</v>
      </c>
      <c r="F152" s="2" t="s">
        <v>16</v>
      </c>
      <c r="G152" s="2" t="s">
        <v>15</v>
      </c>
      <c r="H152" s="2" t="s">
        <v>16</v>
      </c>
      <c r="I152" s="2" t="s">
        <v>15</v>
      </c>
      <c r="J152" s="2" t="s">
        <v>16</v>
      </c>
      <c r="K152" s="2" t="s">
        <v>15</v>
      </c>
      <c r="L152" s="2" t="s">
        <v>16</v>
      </c>
      <c r="M152" s="2" t="s">
        <v>15</v>
      </c>
      <c r="N152" s="2" t="s">
        <v>16</v>
      </c>
      <c r="O152" s="2" t="s">
        <v>15</v>
      </c>
      <c r="P152" s="2" t="s">
        <v>16</v>
      </c>
    </row>
    <row r="153" spans="1:16" ht="15" customHeight="1" x14ac:dyDescent="0.3">
      <c r="A153" s="10"/>
      <c r="B153" s="1" t="s">
        <v>31</v>
      </c>
      <c r="C153" s="3"/>
      <c r="D153" s="3">
        <v>4.6648800000000001</v>
      </c>
      <c r="E153" s="3"/>
      <c r="F153" s="3">
        <v>5.8207300000000002</v>
      </c>
      <c r="G153" s="3"/>
      <c r="H153" s="3">
        <v>5.5759699999999999</v>
      </c>
      <c r="I153" s="3"/>
      <c r="J153" s="3">
        <v>4.9920499999999999</v>
      </c>
      <c r="K153" s="3"/>
      <c r="L153" s="3">
        <v>4.4142200000000003</v>
      </c>
      <c r="M153" s="3"/>
      <c r="N153" s="3">
        <v>3.9114399999999998</v>
      </c>
      <c r="O153" s="3"/>
      <c r="P153" s="3">
        <f>AVERAGE(D153,F153,H153,J153,L153,N153)</f>
        <v>4.8965483333333326</v>
      </c>
    </row>
    <row r="154" spans="1:16" ht="15" customHeight="1" x14ac:dyDescent="0.3">
      <c r="A154" s="10"/>
      <c r="B154" s="1" t="s">
        <v>32</v>
      </c>
      <c r="C154" s="3"/>
      <c r="D154" s="3">
        <v>4.7643700000000004</v>
      </c>
      <c r="E154" s="3"/>
      <c r="F154" s="3">
        <v>6.0061499999999999</v>
      </c>
      <c r="G154" s="3"/>
      <c r="H154" s="3">
        <v>5.7176499999999999</v>
      </c>
      <c r="I154" s="3"/>
      <c r="J154" s="3">
        <v>5.09049</v>
      </c>
      <c r="K154" s="3"/>
      <c r="L154" s="3">
        <v>4.6910800000000004</v>
      </c>
      <c r="M154" s="3"/>
      <c r="N154" s="3">
        <v>4.1724699999999997</v>
      </c>
      <c r="O154" s="3"/>
      <c r="P154" s="3">
        <f>AVERAGE(D154,F154,H154,J154,L154,N154)</f>
        <v>5.0737016666666666</v>
      </c>
    </row>
    <row r="155" spans="1:16" ht="15" customHeight="1" x14ac:dyDescent="0.3">
      <c r="A155" s="10"/>
      <c r="B155" s="1" t="s">
        <v>33</v>
      </c>
      <c r="C155" s="3"/>
      <c r="D155" s="3">
        <v>4.9665900000000001</v>
      </c>
      <c r="E155" s="3"/>
      <c r="F155" s="3">
        <v>6.0786800000000003</v>
      </c>
      <c r="G155" s="3"/>
      <c r="H155" s="3">
        <v>5.9602599999999999</v>
      </c>
      <c r="I155" s="3"/>
      <c r="J155" s="3">
        <v>5.2721099999999996</v>
      </c>
      <c r="K155" s="3"/>
      <c r="L155" s="3">
        <v>4.7949000000000002</v>
      </c>
      <c r="M155" s="3"/>
      <c r="N155" s="3">
        <v>4.2164799999999998</v>
      </c>
      <c r="O155" s="3"/>
      <c r="P155" s="3">
        <f>AVERAGE(D155,F155,H155,J155,L155,N155)</f>
        <v>5.2148366666666659</v>
      </c>
    </row>
    <row r="156" spans="1:16" ht="15" customHeight="1" x14ac:dyDescent="0.3">
      <c r="A156" s="10"/>
      <c r="B156" s="1" t="s">
        <v>34</v>
      </c>
      <c r="C156" s="3"/>
      <c r="D156" s="3">
        <v>5.06792</v>
      </c>
      <c r="E156" s="3"/>
      <c r="F156" s="3">
        <v>6.1188399999999996</v>
      </c>
      <c r="G156" s="3"/>
      <c r="H156" s="3">
        <v>6.0356500000000004</v>
      </c>
      <c r="I156" s="3"/>
      <c r="J156" s="3">
        <v>5.2182199999999996</v>
      </c>
      <c r="K156" s="3"/>
      <c r="L156" s="3">
        <v>4.8553699999999997</v>
      </c>
      <c r="M156" s="3"/>
      <c r="N156" s="3">
        <v>4.3114299999999997</v>
      </c>
      <c r="O156" s="3"/>
      <c r="P156" s="3">
        <f>AVERAGE(D156,F156,H156,J156,L156,N156)</f>
        <v>5.2679049999999998</v>
      </c>
    </row>
    <row r="157" spans="1:16" ht="15" customHeight="1" x14ac:dyDescent="0.3">
      <c r="A157" s="10"/>
      <c r="B157" s="2" t="s">
        <v>35</v>
      </c>
      <c r="C157" s="4"/>
      <c r="D157" s="4">
        <v>4.9878799999999996</v>
      </c>
      <c r="E157" s="4"/>
      <c r="F157" s="4">
        <v>6.2057799999999999</v>
      </c>
      <c r="G157" s="4"/>
      <c r="H157" s="4">
        <v>5.9762000000000004</v>
      </c>
      <c r="I157" s="4"/>
      <c r="J157" s="4">
        <v>5.2882300000000004</v>
      </c>
      <c r="K157" s="4"/>
      <c r="L157" s="4">
        <v>4.8907600000000002</v>
      </c>
      <c r="M157" s="4"/>
      <c r="N157" s="4">
        <v>4.3394599999999999</v>
      </c>
      <c r="O157" s="4"/>
      <c r="P157" s="4">
        <f>AVERAGE(D157,F157,H157,J157,L157,N157)</f>
        <v>5.2813849999999993</v>
      </c>
    </row>
    <row r="160" spans="1:16" ht="15" customHeight="1" x14ac:dyDescent="0.3">
      <c r="A160" s="9" t="s">
        <v>52</v>
      </c>
      <c r="B160" s="11" t="s">
        <v>13</v>
      </c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</row>
    <row r="161" spans="1:16" ht="15" customHeight="1" x14ac:dyDescent="0.3">
      <c r="A161" s="10"/>
      <c r="B161" s="12" t="s">
        <v>0</v>
      </c>
      <c r="C161" s="12" t="s">
        <v>1</v>
      </c>
      <c r="D161" s="12"/>
      <c r="E161" s="12" t="s">
        <v>2</v>
      </c>
      <c r="F161" s="12"/>
      <c r="G161" s="12" t="s">
        <v>3</v>
      </c>
      <c r="H161" s="12"/>
      <c r="I161" s="12" t="s">
        <v>4</v>
      </c>
      <c r="J161" s="12"/>
      <c r="K161" s="12" t="s">
        <v>5</v>
      </c>
      <c r="L161" s="12"/>
      <c r="M161" s="12" t="s">
        <v>6</v>
      </c>
      <c r="N161" s="12"/>
      <c r="O161" s="12" t="s">
        <v>7</v>
      </c>
      <c r="P161" s="12"/>
    </row>
    <row r="162" spans="1:16" ht="15" customHeight="1" x14ac:dyDescent="0.3">
      <c r="A162" s="10"/>
      <c r="B162" s="13"/>
      <c r="C162" s="2" t="s">
        <v>15</v>
      </c>
      <c r="D162" s="2" t="s">
        <v>16</v>
      </c>
      <c r="E162" s="2" t="s">
        <v>15</v>
      </c>
      <c r="F162" s="2" t="s">
        <v>16</v>
      </c>
      <c r="G162" s="2" t="s">
        <v>15</v>
      </c>
      <c r="H162" s="2" t="s">
        <v>16</v>
      </c>
      <c r="I162" s="2" t="s">
        <v>15</v>
      </c>
      <c r="J162" s="2" t="s">
        <v>16</v>
      </c>
      <c r="K162" s="2" t="s">
        <v>15</v>
      </c>
      <c r="L162" s="2" t="s">
        <v>16</v>
      </c>
      <c r="M162" s="2" t="s">
        <v>15</v>
      </c>
      <c r="N162" s="2" t="s">
        <v>16</v>
      </c>
      <c r="O162" s="2" t="s">
        <v>15</v>
      </c>
      <c r="P162" s="2" t="s">
        <v>16</v>
      </c>
    </row>
    <row r="163" spans="1:16" ht="15" customHeight="1" x14ac:dyDescent="0.3">
      <c r="A163" s="10"/>
      <c r="B163" s="1" t="s">
        <v>8</v>
      </c>
      <c r="C163" s="3"/>
      <c r="D163" s="3">
        <v>4.8345599999999997</v>
      </c>
      <c r="E163" s="3"/>
      <c r="F163" s="3">
        <v>5.78383</v>
      </c>
      <c r="G163" s="3"/>
      <c r="H163" s="3">
        <v>5.5440500000000004</v>
      </c>
      <c r="I163" s="3"/>
      <c r="J163" s="3">
        <v>5.0284899999999997</v>
      </c>
      <c r="K163" s="3"/>
      <c r="L163" s="3">
        <v>4.26187</v>
      </c>
      <c r="M163" s="3"/>
      <c r="N163" s="3">
        <v>3.9002300000000001</v>
      </c>
      <c r="O163" s="3"/>
      <c r="P163" s="3">
        <f>AVERAGE(D163,F163,H163,J163,L163,N163)</f>
        <v>4.892171666666667</v>
      </c>
    </row>
    <row r="164" spans="1:16" ht="15" customHeight="1" x14ac:dyDescent="0.3">
      <c r="A164" s="10"/>
      <c r="B164" s="1" t="s">
        <v>9</v>
      </c>
      <c r="C164" s="3"/>
      <c r="D164" s="3">
        <v>4.9534900000000004</v>
      </c>
      <c r="E164" s="3"/>
      <c r="F164" s="3">
        <v>5.8631200000000003</v>
      </c>
      <c r="G164" s="3"/>
      <c r="H164" s="3">
        <v>5.6006799999999997</v>
      </c>
      <c r="I164" s="3"/>
      <c r="J164" s="3">
        <v>5.2051499999999997</v>
      </c>
      <c r="K164" s="3"/>
      <c r="L164" s="3">
        <v>4.3748399999999998</v>
      </c>
      <c r="M164" s="3"/>
      <c r="N164" s="3">
        <v>3.99783</v>
      </c>
      <c r="O164" s="3"/>
      <c r="P164" s="3">
        <f>AVERAGE(D164,F164,H164,J164,L164,N164)</f>
        <v>4.9991849999999998</v>
      </c>
    </row>
    <row r="165" spans="1:16" ht="15" customHeight="1" x14ac:dyDescent="0.3">
      <c r="A165" s="10"/>
      <c r="B165" s="1" t="s">
        <v>10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 t="e">
        <f>AVERAGE(D165,F165,H165,J165,L165,N165)</f>
        <v>#DIV/0!</v>
      </c>
    </row>
    <row r="166" spans="1:16" ht="15" customHeight="1" x14ac:dyDescent="0.3">
      <c r="A166" s="10"/>
      <c r="B166" s="1" t="s">
        <v>11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 t="e">
        <f>AVERAGE(D166,F166,H166,J166,L166,N166)</f>
        <v>#DIV/0!</v>
      </c>
    </row>
    <row r="167" spans="1:16" ht="15" customHeight="1" x14ac:dyDescent="0.3">
      <c r="A167" s="10"/>
      <c r="B167" s="2" t="s">
        <v>12</v>
      </c>
      <c r="C167" s="4"/>
      <c r="D167" s="4">
        <v>5.0605599999999997</v>
      </c>
      <c r="E167" s="4"/>
      <c r="F167" s="4">
        <v>5.99892</v>
      </c>
      <c r="G167" s="4"/>
      <c r="H167" s="4">
        <v>5.7626200000000001</v>
      </c>
      <c r="I167" s="4"/>
      <c r="J167" s="4">
        <v>5.2848899999999999</v>
      </c>
      <c r="K167" s="4"/>
      <c r="L167" s="4">
        <v>4.5831499999999998</v>
      </c>
      <c r="M167" s="4"/>
      <c r="N167" s="4">
        <v>4.1350300000000004</v>
      </c>
      <c r="O167" s="4"/>
      <c r="P167" s="4">
        <f>AVERAGE(D167,F167,H167,J167,L167,N167)</f>
        <v>5.137528333333333</v>
      </c>
    </row>
    <row r="168" spans="1:16" ht="15" customHeight="1" x14ac:dyDescent="0.3">
      <c r="A168" s="10"/>
      <c r="B168" s="11" t="s">
        <v>14</v>
      </c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</row>
    <row r="169" spans="1:16" ht="15" customHeight="1" x14ac:dyDescent="0.3">
      <c r="A169" s="10"/>
      <c r="B169" s="12" t="s">
        <v>0</v>
      </c>
      <c r="C169" s="12" t="s">
        <v>1</v>
      </c>
      <c r="D169" s="12"/>
      <c r="E169" s="12" t="s">
        <v>2</v>
      </c>
      <c r="F169" s="12"/>
      <c r="G169" s="12" t="s">
        <v>3</v>
      </c>
      <c r="H169" s="12"/>
      <c r="I169" s="12" t="s">
        <v>4</v>
      </c>
      <c r="J169" s="12"/>
      <c r="K169" s="12" t="s">
        <v>5</v>
      </c>
      <c r="L169" s="12"/>
      <c r="M169" s="12" t="s">
        <v>6</v>
      </c>
      <c r="N169" s="12"/>
      <c r="O169" s="12" t="s">
        <v>7</v>
      </c>
      <c r="P169" s="12"/>
    </row>
    <row r="170" spans="1:16" ht="15" customHeight="1" x14ac:dyDescent="0.3">
      <c r="A170" s="10"/>
      <c r="B170" s="13"/>
      <c r="C170" s="2" t="s">
        <v>15</v>
      </c>
      <c r="D170" s="2" t="s">
        <v>16</v>
      </c>
      <c r="E170" s="2" t="s">
        <v>15</v>
      </c>
      <c r="F170" s="2" t="s">
        <v>16</v>
      </c>
      <c r="G170" s="2" t="s">
        <v>15</v>
      </c>
      <c r="H170" s="2" t="s">
        <v>16</v>
      </c>
      <c r="I170" s="2" t="s">
        <v>15</v>
      </c>
      <c r="J170" s="2" t="s">
        <v>16</v>
      </c>
      <c r="K170" s="2" t="s">
        <v>15</v>
      </c>
      <c r="L170" s="2" t="s">
        <v>16</v>
      </c>
      <c r="M170" s="2" t="s">
        <v>15</v>
      </c>
      <c r="N170" s="2" t="s">
        <v>16</v>
      </c>
      <c r="O170" s="2" t="s">
        <v>15</v>
      </c>
      <c r="P170" s="2" t="s">
        <v>16</v>
      </c>
    </row>
    <row r="171" spans="1:16" ht="15" customHeight="1" x14ac:dyDescent="0.3">
      <c r="A171" s="10"/>
      <c r="B171" s="1" t="s">
        <v>8</v>
      </c>
      <c r="C171" s="3"/>
      <c r="D171" s="3">
        <v>4.4094499999999996</v>
      </c>
      <c r="E171" s="3"/>
      <c r="F171" s="3">
        <v>5.5106099999999998</v>
      </c>
      <c r="G171" s="3"/>
      <c r="H171" s="3">
        <v>5.2763</v>
      </c>
      <c r="I171" s="3"/>
      <c r="J171" s="3">
        <v>4.6450699999999996</v>
      </c>
      <c r="K171" s="3"/>
      <c r="L171" s="3">
        <v>3.9482300000000001</v>
      </c>
      <c r="M171" s="3"/>
      <c r="N171" s="3">
        <v>3.6365699999999999</v>
      </c>
      <c r="O171" s="3"/>
      <c r="P171" s="3">
        <f>AVERAGE(D171,F171,H171,J171,L171,N171)</f>
        <v>4.5710383333333331</v>
      </c>
    </row>
    <row r="172" spans="1:16" ht="15" customHeight="1" x14ac:dyDescent="0.3">
      <c r="A172" s="10"/>
      <c r="B172" s="1" t="s">
        <v>9</v>
      </c>
      <c r="C172" s="3"/>
      <c r="D172" s="3">
        <v>4.4936100000000003</v>
      </c>
      <c r="E172" s="3"/>
      <c r="F172" s="3">
        <v>5.6301399999999999</v>
      </c>
      <c r="G172" s="3"/>
      <c r="H172" s="3">
        <v>5.4397799999999998</v>
      </c>
      <c r="I172" s="3"/>
      <c r="J172" s="3">
        <v>4.68405</v>
      </c>
      <c r="K172" s="3"/>
      <c r="L172" s="3">
        <v>4.0178700000000003</v>
      </c>
      <c r="M172" s="3"/>
      <c r="N172" s="3">
        <v>3.7398199999999999</v>
      </c>
      <c r="O172" s="3"/>
      <c r="P172" s="3">
        <f>AVERAGE(D172,F172,H172,J172,L172,N172)</f>
        <v>4.6675450000000005</v>
      </c>
    </row>
    <row r="173" spans="1:16" ht="15" customHeight="1" x14ac:dyDescent="0.3">
      <c r="A173" s="10"/>
      <c r="B173" s="1" t="s">
        <v>10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 t="e">
        <f>AVERAGE(D173,F173,H173,J173,L173,N173)</f>
        <v>#DIV/0!</v>
      </c>
    </row>
    <row r="174" spans="1:16" ht="15" customHeight="1" x14ac:dyDescent="0.3">
      <c r="A174" s="10"/>
      <c r="B174" s="1" t="s">
        <v>11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 t="e">
        <f>AVERAGE(D174,F174,H174,J174,L174,N174)</f>
        <v>#DIV/0!</v>
      </c>
    </row>
    <row r="175" spans="1:16" ht="15" customHeight="1" x14ac:dyDescent="0.3">
      <c r="A175" s="10"/>
      <c r="B175" s="2" t="s">
        <v>12</v>
      </c>
      <c r="C175" s="4"/>
      <c r="D175" s="4">
        <v>4.6453499999999996</v>
      </c>
      <c r="E175" s="4"/>
      <c r="F175" s="4">
        <v>5.6632300000000004</v>
      </c>
      <c r="G175" s="4"/>
      <c r="H175" s="4">
        <v>5.4914199999999997</v>
      </c>
      <c r="I175" s="4"/>
      <c r="J175" s="4">
        <v>4.8323499999999999</v>
      </c>
      <c r="K175" s="4"/>
      <c r="L175" s="4">
        <v>4.1166</v>
      </c>
      <c r="M175" s="4"/>
      <c r="N175" s="4">
        <v>3.8397399999999999</v>
      </c>
      <c r="O175" s="4"/>
      <c r="P175" s="4">
        <f>AVERAGE(D175,F175,H175,J175,L175,N175)</f>
        <v>4.7647816666666669</v>
      </c>
    </row>
    <row r="178" spans="1:16" ht="15" customHeight="1" x14ac:dyDescent="0.3">
      <c r="A178" s="9" t="s">
        <v>53</v>
      </c>
      <c r="B178" s="11" t="s">
        <v>13</v>
      </c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</row>
    <row r="179" spans="1:16" ht="15" customHeight="1" x14ac:dyDescent="0.3">
      <c r="A179" s="10"/>
      <c r="B179" s="12" t="s">
        <v>0</v>
      </c>
      <c r="C179" s="12" t="s">
        <v>1</v>
      </c>
      <c r="D179" s="12"/>
      <c r="E179" s="12" t="s">
        <v>2</v>
      </c>
      <c r="F179" s="12"/>
      <c r="G179" s="12" t="s">
        <v>3</v>
      </c>
      <c r="H179" s="12"/>
      <c r="I179" s="12" t="s">
        <v>4</v>
      </c>
      <c r="J179" s="12"/>
      <c r="K179" s="12" t="s">
        <v>5</v>
      </c>
      <c r="L179" s="12"/>
      <c r="M179" s="12" t="s">
        <v>6</v>
      </c>
      <c r="N179" s="12"/>
      <c r="O179" s="12" t="s">
        <v>7</v>
      </c>
      <c r="P179" s="12"/>
    </row>
    <row r="180" spans="1:16" ht="15" customHeight="1" x14ac:dyDescent="0.3">
      <c r="A180" s="10"/>
      <c r="B180" s="13"/>
      <c r="C180" s="2" t="s">
        <v>15</v>
      </c>
      <c r="D180" s="2" t="s">
        <v>16</v>
      </c>
      <c r="E180" s="2" t="s">
        <v>15</v>
      </c>
      <c r="F180" s="2" t="s">
        <v>16</v>
      </c>
      <c r="G180" s="2" t="s">
        <v>15</v>
      </c>
      <c r="H180" s="2" t="s">
        <v>16</v>
      </c>
      <c r="I180" s="2" t="s">
        <v>15</v>
      </c>
      <c r="J180" s="2" t="s">
        <v>16</v>
      </c>
      <c r="K180" s="2" t="s">
        <v>15</v>
      </c>
      <c r="L180" s="2" t="s">
        <v>16</v>
      </c>
      <c r="M180" s="2" t="s">
        <v>15</v>
      </c>
      <c r="N180" s="2" t="s">
        <v>16</v>
      </c>
      <c r="O180" s="2" t="s">
        <v>15</v>
      </c>
      <c r="P180" s="2" t="s">
        <v>16</v>
      </c>
    </row>
    <row r="181" spans="1:16" ht="15" customHeight="1" x14ac:dyDescent="0.3">
      <c r="A181" s="10"/>
      <c r="B181" s="1" t="s">
        <v>31</v>
      </c>
      <c r="C181" s="3"/>
      <c r="D181" s="3">
        <v>4.8525200000000002</v>
      </c>
      <c r="E181" s="3"/>
      <c r="F181" s="3">
        <v>5.8368399999999996</v>
      </c>
      <c r="G181" s="3"/>
      <c r="H181" s="3">
        <v>5.5527899999999999</v>
      </c>
      <c r="I181" s="3"/>
      <c r="J181" s="3">
        <v>5.1691900000000004</v>
      </c>
      <c r="K181" s="3"/>
      <c r="L181" s="3">
        <v>4.2882699999999998</v>
      </c>
      <c r="M181" s="3"/>
      <c r="N181" s="3">
        <v>3.9023400000000001</v>
      </c>
      <c r="O181" s="3"/>
      <c r="P181" s="3">
        <f>AVERAGE(D181,F181,H181,J181,L181,N181)</f>
        <v>4.9336583333333337</v>
      </c>
    </row>
    <row r="182" spans="1:16" ht="15" customHeight="1" x14ac:dyDescent="0.3">
      <c r="A182" s="10"/>
      <c r="B182" s="1" t="s">
        <v>32</v>
      </c>
      <c r="C182" s="3"/>
      <c r="D182" s="3">
        <v>5.06907</v>
      </c>
      <c r="E182" s="3"/>
      <c r="F182" s="3">
        <v>5.9813799999999997</v>
      </c>
      <c r="G182" s="3"/>
      <c r="H182" s="3">
        <v>5.7794100000000004</v>
      </c>
      <c r="I182" s="3"/>
      <c r="J182" s="3">
        <v>5.3164999999999996</v>
      </c>
      <c r="K182" s="3"/>
      <c r="L182" s="3">
        <v>4.5904400000000001</v>
      </c>
      <c r="M182" s="3"/>
      <c r="N182" s="3">
        <v>4.1261000000000001</v>
      </c>
      <c r="O182" s="3"/>
      <c r="P182" s="3">
        <f>AVERAGE(D182,F182,H182,J182,L182,N182)</f>
        <v>5.1438166666666669</v>
      </c>
    </row>
    <row r="183" spans="1:16" ht="15" customHeight="1" x14ac:dyDescent="0.3">
      <c r="A183" s="10"/>
      <c r="B183" s="1" t="s">
        <v>33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 t="e">
        <f>AVERAGE(D183,F183,H183,J183,L183,N183)</f>
        <v>#DIV/0!</v>
      </c>
    </row>
    <row r="184" spans="1:16" ht="15" customHeight="1" x14ac:dyDescent="0.3">
      <c r="A184" s="10"/>
      <c r="B184" s="1" t="s">
        <v>34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 t="e">
        <f>AVERAGE(D184,F184,H184,J184,L184,N184)</f>
        <v>#DIV/0!</v>
      </c>
    </row>
    <row r="185" spans="1:16" ht="15" customHeight="1" x14ac:dyDescent="0.3">
      <c r="A185" s="10"/>
      <c r="B185" s="2" t="s">
        <v>35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 t="e">
        <f>AVERAGE(D185,F185,H185,J185,L185,N185)</f>
        <v>#DIV/0!</v>
      </c>
    </row>
    <row r="186" spans="1:16" ht="15" customHeight="1" x14ac:dyDescent="0.3">
      <c r="A186" s="10"/>
      <c r="B186" s="11" t="s">
        <v>14</v>
      </c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</row>
    <row r="187" spans="1:16" ht="15" customHeight="1" x14ac:dyDescent="0.3">
      <c r="A187" s="10"/>
      <c r="B187" s="12" t="s">
        <v>0</v>
      </c>
      <c r="C187" s="12" t="s">
        <v>1</v>
      </c>
      <c r="D187" s="12"/>
      <c r="E187" s="12" t="s">
        <v>2</v>
      </c>
      <c r="F187" s="12"/>
      <c r="G187" s="12" t="s">
        <v>3</v>
      </c>
      <c r="H187" s="12"/>
      <c r="I187" s="12" t="s">
        <v>4</v>
      </c>
      <c r="J187" s="12"/>
      <c r="K187" s="12" t="s">
        <v>5</v>
      </c>
      <c r="L187" s="12"/>
      <c r="M187" s="12" t="s">
        <v>6</v>
      </c>
      <c r="N187" s="12"/>
      <c r="O187" s="12" t="s">
        <v>7</v>
      </c>
      <c r="P187" s="12"/>
    </row>
    <row r="188" spans="1:16" ht="15" customHeight="1" x14ac:dyDescent="0.3">
      <c r="A188" s="10"/>
      <c r="B188" s="13"/>
      <c r="C188" s="2" t="s">
        <v>15</v>
      </c>
      <c r="D188" s="2" t="s">
        <v>16</v>
      </c>
      <c r="E188" s="2" t="s">
        <v>15</v>
      </c>
      <c r="F188" s="2" t="s">
        <v>16</v>
      </c>
      <c r="G188" s="2" t="s">
        <v>15</v>
      </c>
      <c r="H188" s="2" t="s">
        <v>16</v>
      </c>
      <c r="I188" s="2" t="s">
        <v>15</v>
      </c>
      <c r="J188" s="2" t="s">
        <v>16</v>
      </c>
      <c r="K188" s="2" t="s">
        <v>15</v>
      </c>
      <c r="L188" s="2" t="s">
        <v>16</v>
      </c>
      <c r="M188" s="2" t="s">
        <v>15</v>
      </c>
      <c r="N188" s="2" t="s">
        <v>16</v>
      </c>
      <c r="O188" s="2" t="s">
        <v>15</v>
      </c>
      <c r="P188" s="2" t="s">
        <v>16</v>
      </c>
    </row>
    <row r="189" spans="1:16" ht="15" customHeight="1" x14ac:dyDescent="0.3">
      <c r="A189" s="10"/>
      <c r="B189" s="1" t="s">
        <v>31</v>
      </c>
      <c r="C189" s="3"/>
      <c r="D189" s="3">
        <v>4.4356799999999996</v>
      </c>
      <c r="E189" s="3"/>
      <c r="F189" s="3">
        <v>5.5202</v>
      </c>
      <c r="G189" s="3"/>
      <c r="H189" s="3">
        <v>5.3457699999999999</v>
      </c>
      <c r="I189" s="3"/>
      <c r="J189" s="3">
        <v>4.81379</v>
      </c>
      <c r="K189" s="3"/>
      <c r="L189" s="3">
        <v>3.9738099999999998</v>
      </c>
      <c r="M189" s="3"/>
      <c r="N189" s="3">
        <v>3.5743100000000001</v>
      </c>
      <c r="O189" s="3"/>
      <c r="P189" s="3">
        <f>AVERAGE(D189,F189,H189,J189,L189,N189)</f>
        <v>4.6105933333333331</v>
      </c>
    </row>
    <row r="190" spans="1:16" ht="15" customHeight="1" x14ac:dyDescent="0.3">
      <c r="A190" s="10"/>
      <c r="B190" s="1" t="s">
        <v>32</v>
      </c>
      <c r="C190" s="3"/>
      <c r="D190" s="3">
        <v>4.6087999999999996</v>
      </c>
      <c r="E190" s="3"/>
      <c r="F190" s="3">
        <v>5.7934700000000001</v>
      </c>
      <c r="G190" s="3"/>
      <c r="H190" s="3">
        <v>5.5641800000000003</v>
      </c>
      <c r="I190" s="3"/>
      <c r="J190" s="3">
        <v>4.9355399999999996</v>
      </c>
      <c r="K190" s="3"/>
      <c r="L190" s="3">
        <v>4.1799600000000003</v>
      </c>
      <c r="M190" s="3"/>
      <c r="N190" s="3">
        <v>3.76118</v>
      </c>
      <c r="O190" s="3"/>
      <c r="P190" s="3">
        <f>AVERAGE(D190,F190,H190,J190,L190,N190)</f>
        <v>4.8071883333333334</v>
      </c>
    </row>
    <row r="191" spans="1:16" ht="15" customHeight="1" x14ac:dyDescent="0.3">
      <c r="A191" s="10"/>
      <c r="B191" s="1" t="s">
        <v>33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 t="e">
        <f>AVERAGE(D191,F191,H191,J191,L191,N191)</f>
        <v>#DIV/0!</v>
      </c>
    </row>
    <row r="192" spans="1:16" ht="15" customHeight="1" x14ac:dyDescent="0.3">
      <c r="A192" s="10"/>
      <c r="B192" s="1" t="s">
        <v>34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 t="e">
        <f>AVERAGE(D192,F192,H192,J192,L192,N192)</f>
        <v>#DIV/0!</v>
      </c>
    </row>
    <row r="193" spans="1:16" ht="15" customHeight="1" x14ac:dyDescent="0.3">
      <c r="A193" s="10"/>
      <c r="B193" s="2" t="s">
        <v>35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 t="e">
        <f>AVERAGE(D193,F193,H193,J193,L193,N193)</f>
        <v>#DIV/0!</v>
      </c>
    </row>
    <row r="196" spans="1:16" ht="15" customHeight="1" x14ac:dyDescent="0.3">
      <c r="A196" s="9" t="s">
        <v>50</v>
      </c>
      <c r="B196" s="11" t="s">
        <v>13</v>
      </c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</row>
    <row r="197" spans="1:16" ht="15" customHeight="1" x14ac:dyDescent="0.3">
      <c r="A197" s="10"/>
      <c r="B197" s="12" t="s">
        <v>0</v>
      </c>
      <c r="C197" s="12" t="s">
        <v>1</v>
      </c>
      <c r="D197" s="12"/>
      <c r="E197" s="12" t="s">
        <v>2</v>
      </c>
      <c r="F197" s="12"/>
      <c r="G197" s="12" t="s">
        <v>3</v>
      </c>
      <c r="H197" s="12"/>
      <c r="I197" s="12" t="s">
        <v>4</v>
      </c>
      <c r="J197" s="12"/>
      <c r="K197" s="12" t="s">
        <v>5</v>
      </c>
      <c r="L197" s="12"/>
      <c r="M197" s="12" t="s">
        <v>6</v>
      </c>
      <c r="N197" s="12"/>
      <c r="O197" s="12" t="s">
        <v>7</v>
      </c>
      <c r="P197" s="12"/>
    </row>
    <row r="198" spans="1:16" ht="15" customHeight="1" x14ac:dyDescent="0.3">
      <c r="A198" s="10"/>
      <c r="B198" s="13"/>
      <c r="C198" s="2" t="s">
        <v>15</v>
      </c>
      <c r="D198" s="2" t="s">
        <v>16</v>
      </c>
      <c r="E198" s="2" t="s">
        <v>15</v>
      </c>
      <c r="F198" s="2" t="s">
        <v>16</v>
      </c>
      <c r="G198" s="2" t="s">
        <v>15</v>
      </c>
      <c r="H198" s="2" t="s">
        <v>16</v>
      </c>
      <c r="I198" s="2" t="s">
        <v>15</v>
      </c>
      <c r="J198" s="2" t="s">
        <v>16</v>
      </c>
      <c r="K198" s="2" t="s">
        <v>15</v>
      </c>
      <c r="L198" s="2" t="s">
        <v>16</v>
      </c>
      <c r="M198" s="2" t="s">
        <v>15</v>
      </c>
      <c r="N198" s="2" t="s">
        <v>16</v>
      </c>
      <c r="O198" s="2" t="s">
        <v>15</v>
      </c>
      <c r="P198" s="2" t="s">
        <v>16</v>
      </c>
    </row>
    <row r="199" spans="1:16" ht="15" customHeight="1" x14ac:dyDescent="0.3">
      <c r="A199" s="10"/>
      <c r="B199" s="1" t="s">
        <v>8</v>
      </c>
      <c r="C199" s="3"/>
      <c r="D199" s="3">
        <v>4.8350999999999997</v>
      </c>
      <c r="E199" s="3"/>
      <c r="F199" s="3">
        <v>5.8418599999999996</v>
      </c>
      <c r="G199" s="3"/>
      <c r="H199" s="3">
        <v>5.3804100000000004</v>
      </c>
      <c r="I199" s="3"/>
      <c r="J199" s="3">
        <v>5.1307099999999997</v>
      </c>
      <c r="K199" s="3"/>
      <c r="L199" s="3">
        <v>4.2869599999999997</v>
      </c>
      <c r="M199" s="3"/>
      <c r="N199" s="3">
        <v>3.9249200000000002</v>
      </c>
      <c r="O199" s="3"/>
      <c r="P199" s="3">
        <f>AVERAGE(D199,F199,H199,J199,L199,N199)</f>
        <v>4.8999933333333336</v>
      </c>
    </row>
    <row r="200" spans="1:16" ht="15" customHeight="1" x14ac:dyDescent="0.3">
      <c r="A200" s="10"/>
      <c r="B200" s="1" t="s">
        <v>9</v>
      </c>
      <c r="C200" s="3"/>
      <c r="D200" s="3">
        <v>5.0928699999999996</v>
      </c>
      <c r="E200" s="3"/>
      <c r="F200" s="3">
        <v>5.9963899999999999</v>
      </c>
      <c r="G200" s="3"/>
      <c r="H200" s="3">
        <v>5.7409499999999998</v>
      </c>
      <c r="I200" s="3"/>
      <c r="J200" s="3">
        <v>5.3913000000000002</v>
      </c>
      <c r="K200" s="3"/>
      <c r="L200" s="3">
        <v>4.4194800000000001</v>
      </c>
      <c r="M200" s="3"/>
      <c r="N200" s="3">
        <v>4.1529199999999999</v>
      </c>
      <c r="O200" s="3"/>
      <c r="P200" s="3">
        <f>AVERAGE(D200,F200,H200,J200,L200,N200)</f>
        <v>5.132318333333334</v>
      </c>
    </row>
    <row r="201" spans="1:16" ht="15" customHeight="1" x14ac:dyDescent="0.3">
      <c r="A201" s="10"/>
      <c r="B201" s="1" t="s">
        <v>10</v>
      </c>
      <c r="C201" s="3"/>
      <c r="D201" s="3">
        <v>5.3201000000000001</v>
      </c>
      <c r="E201" s="3"/>
      <c r="F201" s="3">
        <v>6.1637899999999997</v>
      </c>
      <c r="G201" s="3"/>
      <c r="H201" s="3">
        <v>5.9080199999999996</v>
      </c>
      <c r="I201" s="3"/>
      <c r="J201" s="3">
        <v>5.5360100000000001</v>
      </c>
      <c r="K201" s="3"/>
      <c r="L201" s="3">
        <v>4.71347</v>
      </c>
      <c r="M201" s="3"/>
      <c r="N201" s="3">
        <v>4.3147200000000003</v>
      </c>
      <c r="O201" s="3"/>
      <c r="P201" s="3">
        <f>AVERAGE(D201,F201,H201,J201,L201,N201)</f>
        <v>5.3260183333333337</v>
      </c>
    </row>
    <row r="202" spans="1:16" ht="15" customHeight="1" x14ac:dyDescent="0.3">
      <c r="A202" s="10"/>
      <c r="B202" s="1" t="s">
        <v>11</v>
      </c>
      <c r="C202" s="3"/>
      <c r="D202" s="3">
        <v>5.36137</v>
      </c>
      <c r="E202" s="3"/>
      <c r="F202" s="3">
        <v>6.2123900000000001</v>
      </c>
      <c r="G202" s="3"/>
      <c r="H202" s="3">
        <v>6.0613599999999996</v>
      </c>
      <c r="I202" s="3"/>
      <c r="J202" s="3">
        <v>5.5939699999999997</v>
      </c>
      <c r="K202" s="3"/>
      <c r="L202" s="3">
        <v>4.8575299999999997</v>
      </c>
      <c r="M202" s="3"/>
      <c r="N202" s="3">
        <v>4.4312899999999997</v>
      </c>
      <c r="O202" s="3"/>
      <c r="P202" s="3">
        <f>AVERAGE(D202,F202,H202,J202,L202,N202)</f>
        <v>5.4196516666666668</v>
      </c>
    </row>
    <row r="203" spans="1:16" ht="15" customHeight="1" x14ac:dyDescent="0.3">
      <c r="A203" s="10"/>
      <c r="B203" s="2" t="s">
        <v>12</v>
      </c>
      <c r="C203" s="4"/>
      <c r="D203" s="4">
        <v>5.4131900000000002</v>
      </c>
      <c r="E203" s="4"/>
      <c r="F203" s="4">
        <v>6.2545000000000002</v>
      </c>
      <c r="G203" s="4"/>
      <c r="H203" s="4">
        <v>6.0812799999999996</v>
      </c>
      <c r="I203" s="4"/>
      <c r="J203" s="4">
        <v>5.6418999999999997</v>
      </c>
      <c r="K203" s="4"/>
      <c r="L203" s="4">
        <v>4.8334400000000004</v>
      </c>
      <c r="M203" s="4"/>
      <c r="N203" s="4">
        <v>4.4951999999999996</v>
      </c>
      <c r="O203" s="4"/>
      <c r="P203" s="4">
        <f>AVERAGE(D203,F203,H203,J203,L203,N203)</f>
        <v>5.4532516666666666</v>
      </c>
    </row>
    <row r="204" spans="1:16" ht="15" customHeight="1" x14ac:dyDescent="0.3">
      <c r="A204" s="10"/>
      <c r="B204" s="11" t="s">
        <v>14</v>
      </c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</row>
    <row r="205" spans="1:16" ht="15" customHeight="1" x14ac:dyDescent="0.3">
      <c r="A205" s="10"/>
      <c r="B205" s="12" t="s">
        <v>0</v>
      </c>
      <c r="C205" s="12" t="s">
        <v>1</v>
      </c>
      <c r="D205" s="12"/>
      <c r="E205" s="12" t="s">
        <v>2</v>
      </c>
      <c r="F205" s="12"/>
      <c r="G205" s="12" t="s">
        <v>3</v>
      </c>
      <c r="H205" s="12"/>
      <c r="I205" s="12" t="s">
        <v>4</v>
      </c>
      <c r="J205" s="12"/>
      <c r="K205" s="12" t="s">
        <v>5</v>
      </c>
      <c r="L205" s="12"/>
      <c r="M205" s="12" t="s">
        <v>6</v>
      </c>
      <c r="N205" s="12"/>
      <c r="O205" s="12" t="s">
        <v>7</v>
      </c>
      <c r="P205" s="12"/>
    </row>
    <row r="206" spans="1:16" ht="15" customHeight="1" x14ac:dyDescent="0.3">
      <c r="A206" s="10"/>
      <c r="B206" s="13"/>
      <c r="C206" s="2" t="s">
        <v>15</v>
      </c>
      <c r="D206" s="2" t="s">
        <v>16</v>
      </c>
      <c r="E206" s="2" t="s">
        <v>15</v>
      </c>
      <c r="F206" s="2" t="s">
        <v>16</v>
      </c>
      <c r="G206" s="2" t="s">
        <v>15</v>
      </c>
      <c r="H206" s="2" t="s">
        <v>16</v>
      </c>
      <c r="I206" s="2" t="s">
        <v>15</v>
      </c>
      <c r="J206" s="2" t="s">
        <v>16</v>
      </c>
      <c r="K206" s="2" t="s">
        <v>15</v>
      </c>
      <c r="L206" s="2" t="s">
        <v>16</v>
      </c>
      <c r="M206" s="2" t="s">
        <v>15</v>
      </c>
      <c r="N206" s="2" t="s">
        <v>16</v>
      </c>
      <c r="O206" s="2" t="s">
        <v>15</v>
      </c>
      <c r="P206" s="2" t="s">
        <v>16</v>
      </c>
    </row>
    <row r="207" spans="1:16" ht="15" customHeight="1" x14ac:dyDescent="0.3">
      <c r="A207" s="10"/>
      <c r="B207" s="1" t="s">
        <v>8</v>
      </c>
      <c r="C207" s="3"/>
      <c r="D207" s="3">
        <v>4.4249700000000001</v>
      </c>
      <c r="E207" s="3"/>
      <c r="F207" s="3">
        <v>5.5333399999999999</v>
      </c>
      <c r="G207" s="3"/>
      <c r="H207" s="3">
        <v>5.1902999999999997</v>
      </c>
      <c r="I207" s="3"/>
      <c r="J207" s="3">
        <v>4.8660300000000003</v>
      </c>
      <c r="K207" s="3"/>
      <c r="L207" s="3">
        <v>3.8866299999999998</v>
      </c>
      <c r="M207" s="3"/>
      <c r="N207" s="3">
        <v>3.6355400000000002</v>
      </c>
      <c r="O207" s="3"/>
      <c r="P207" s="3">
        <f>AVERAGE(D207,F207,H207,J207,L207,N207)</f>
        <v>4.5894683333333335</v>
      </c>
    </row>
    <row r="208" spans="1:16" ht="15" customHeight="1" x14ac:dyDescent="0.3">
      <c r="A208" s="10"/>
      <c r="B208" s="1" t="s">
        <v>9</v>
      </c>
      <c r="C208" s="3"/>
      <c r="D208" s="3">
        <v>4.66181</v>
      </c>
      <c r="E208" s="3"/>
      <c r="F208" s="3">
        <v>5.6358699999999997</v>
      </c>
      <c r="G208" s="3"/>
      <c r="H208" s="3">
        <v>5.5303500000000003</v>
      </c>
      <c r="I208" s="3"/>
      <c r="J208" s="3">
        <v>4.9067100000000003</v>
      </c>
      <c r="K208" s="3"/>
      <c r="L208" s="3">
        <v>4.1264799999999999</v>
      </c>
      <c r="M208" s="3"/>
      <c r="N208" s="3">
        <v>3.8291499999999998</v>
      </c>
      <c r="O208" s="3"/>
      <c r="P208" s="3">
        <f>AVERAGE(D208,F208,H208,J208,L208,N208)</f>
        <v>4.7817283333333336</v>
      </c>
    </row>
    <row r="209" spans="1:16" ht="15" customHeight="1" x14ac:dyDescent="0.3">
      <c r="A209" s="10"/>
      <c r="B209" s="1" t="s">
        <v>10</v>
      </c>
      <c r="C209" s="3"/>
      <c r="D209" s="3">
        <v>4.8665000000000003</v>
      </c>
      <c r="E209" s="3"/>
      <c r="F209" s="3">
        <v>5.8399900000000002</v>
      </c>
      <c r="G209" s="3"/>
      <c r="H209" s="3">
        <v>5.65158</v>
      </c>
      <c r="I209" s="3"/>
      <c r="J209" s="3">
        <v>5.07212</v>
      </c>
      <c r="K209" s="3"/>
      <c r="L209" s="3">
        <v>4.3304900000000002</v>
      </c>
      <c r="M209" s="3"/>
      <c r="N209" s="3">
        <v>3.9704700000000002</v>
      </c>
      <c r="O209" s="3"/>
      <c r="P209" s="3">
        <f>AVERAGE(D209,F209,H209,J209,L209,N209)</f>
        <v>4.9551916666666669</v>
      </c>
    </row>
    <row r="210" spans="1:16" ht="15" customHeight="1" x14ac:dyDescent="0.3">
      <c r="A210" s="10"/>
      <c r="B210" s="1" t="s">
        <v>11</v>
      </c>
      <c r="C210" s="3"/>
      <c r="D210" s="3">
        <v>4.9245000000000001</v>
      </c>
      <c r="E210" s="3"/>
      <c r="F210" s="3">
        <v>5.9912099999999997</v>
      </c>
      <c r="G210" s="3"/>
      <c r="H210" s="3">
        <v>5.8172800000000002</v>
      </c>
      <c r="I210" s="3"/>
      <c r="J210" s="3">
        <v>5.1707700000000001</v>
      </c>
      <c r="K210" s="3"/>
      <c r="L210" s="3">
        <v>4.4135600000000004</v>
      </c>
      <c r="M210" s="3"/>
      <c r="N210" s="3">
        <v>4.1507300000000003</v>
      </c>
      <c r="O210" s="3"/>
      <c r="P210" s="3">
        <f>AVERAGE(D210,F210,H210,J210,L210,N210)</f>
        <v>5.0780083333333339</v>
      </c>
    </row>
    <row r="211" spans="1:16" ht="15" customHeight="1" x14ac:dyDescent="0.3">
      <c r="A211" s="10"/>
      <c r="B211" s="2" t="s">
        <v>12</v>
      </c>
      <c r="C211" s="4"/>
      <c r="D211" s="4">
        <v>4.8952299999999997</v>
      </c>
      <c r="E211" s="4"/>
      <c r="F211" s="4">
        <v>6.0022099999999998</v>
      </c>
      <c r="G211" s="4"/>
      <c r="H211" s="4">
        <v>5.8484299999999996</v>
      </c>
      <c r="I211" s="4"/>
      <c r="J211" s="4">
        <v>5.3302800000000001</v>
      </c>
      <c r="K211" s="4"/>
      <c r="L211" s="4">
        <v>4.4426100000000002</v>
      </c>
      <c r="M211" s="4"/>
      <c r="N211" s="4">
        <v>4.1807600000000003</v>
      </c>
      <c r="O211" s="4"/>
      <c r="P211" s="4">
        <f>AVERAGE(D211,F211,H211,J211,L211,N211)</f>
        <v>5.1165866666666666</v>
      </c>
    </row>
  </sheetData>
  <mergeCells count="229">
    <mergeCell ref="A196:A211"/>
    <mergeCell ref="B196:P196"/>
    <mergeCell ref="B197:B198"/>
    <mergeCell ref="C197:D197"/>
    <mergeCell ref="E197:F197"/>
    <mergeCell ref="G197:H197"/>
    <mergeCell ref="I197:J197"/>
    <mergeCell ref="K197:L197"/>
    <mergeCell ref="M197:N197"/>
    <mergeCell ref="O197:P197"/>
    <mergeCell ref="B204:P204"/>
    <mergeCell ref="B205:B206"/>
    <mergeCell ref="C205:D205"/>
    <mergeCell ref="E205:F205"/>
    <mergeCell ref="G205:H205"/>
    <mergeCell ref="I205:J205"/>
    <mergeCell ref="K205:L205"/>
    <mergeCell ref="M205:N205"/>
    <mergeCell ref="O205:P205"/>
    <mergeCell ref="A178:A193"/>
    <mergeCell ref="B178:P178"/>
    <mergeCell ref="B179:B180"/>
    <mergeCell ref="C179:D179"/>
    <mergeCell ref="E179:F179"/>
    <mergeCell ref="G179:H179"/>
    <mergeCell ref="I179:J179"/>
    <mergeCell ref="K179:L179"/>
    <mergeCell ref="M179:N179"/>
    <mergeCell ref="O179:P179"/>
    <mergeCell ref="B186:P186"/>
    <mergeCell ref="B187:B188"/>
    <mergeCell ref="C187:D187"/>
    <mergeCell ref="E187:F187"/>
    <mergeCell ref="G187:H187"/>
    <mergeCell ref="I187:J187"/>
    <mergeCell ref="K187:L187"/>
    <mergeCell ref="M187:N187"/>
    <mergeCell ref="O187:P187"/>
    <mergeCell ref="O133:P133"/>
    <mergeCell ref="B74:P74"/>
    <mergeCell ref="B75:B76"/>
    <mergeCell ref="C75:D75"/>
    <mergeCell ref="E75:F75"/>
    <mergeCell ref="M89:N89"/>
    <mergeCell ref="O89:P89"/>
    <mergeCell ref="K81:L81"/>
    <mergeCell ref="M81:N81"/>
    <mergeCell ref="O81:P81"/>
    <mergeCell ref="B81:B82"/>
    <mergeCell ref="C81:D81"/>
    <mergeCell ref="E81:F81"/>
    <mergeCell ref="G81:H81"/>
    <mergeCell ref="I81:J81"/>
    <mergeCell ref="B96:P96"/>
    <mergeCell ref="B97:B98"/>
    <mergeCell ref="M97:N97"/>
    <mergeCell ref="G97:H97"/>
    <mergeCell ref="I97:J97"/>
    <mergeCell ref="K97:L97"/>
    <mergeCell ref="C97:D97"/>
    <mergeCell ref="E97:F97"/>
    <mergeCell ref="B89:B90"/>
    <mergeCell ref="A74:A85"/>
    <mergeCell ref="A124:A139"/>
    <mergeCell ref="B124:P124"/>
    <mergeCell ref="B125:B126"/>
    <mergeCell ref="C125:D125"/>
    <mergeCell ref="E125:F125"/>
    <mergeCell ref="G125:H125"/>
    <mergeCell ref="I125:J125"/>
    <mergeCell ref="K125:L125"/>
    <mergeCell ref="M125:N125"/>
    <mergeCell ref="O125:P125"/>
    <mergeCell ref="B132:P132"/>
    <mergeCell ref="B133:B134"/>
    <mergeCell ref="C133:D133"/>
    <mergeCell ref="E133:F133"/>
    <mergeCell ref="G133:H133"/>
    <mergeCell ref="I133:J133"/>
    <mergeCell ref="K133:L133"/>
    <mergeCell ref="M133:N133"/>
    <mergeCell ref="I75:J75"/>
    <mergeCell ref="K75:L75"/>
    <mergeCell ref="M75:N75"/>
    <mergeCell ref="O75:P75"/>
    <mergeCell ref="B80:P80"/>
    <mergeCell ref="B29:B30"/>
    <mergeCell ref="C29:D29"/>
    <mergeCell ref="E29:F29"/>
    <mergeCell ref="C11:D11"/>
    <mergeCell ref="A106:A121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4:P114"/>
    <mergeCell ref="B115:B116"/>
    <mergeCell ref="C115:D115"/>
    <mergeCell ref="K115:L115"/>
    <mergeCell ref="M115:N115"/>
    <mergeCell ref="O115:P115"/>
    <mergeCell ref="E115:F115"/>
    <mergeCell ref="G115:H115"/>
    <mergeCell ref="I115:J115"/>
    <mergeCell ref="K89:L89"/>
    <mergeCell ref="A56:A71"/>
    <mergeCell ref="B64:P64"/>
    <mergeCell ref="C57:D57"/>
    <mergeCell ref="E57:F57"/>
    <mergeCell ref="G57:H57"/>
    <mergeCell ref="I57:J57"/>
    <mergeCell ref="A88:A103"/>
    <mergeCell ref="B88:P88"/>
    <mergeCell ref="G29:H29"/>
    <mergeCell ref="I29:J29"/>
    <mergeCell ref="K29:L29"/>
    <mergeCell ref="M29:N29"/>
    <mergeCell ref="O29:P29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M11:N11"/>
    <mergeCell ref="O11:P11"/>
    <mergeCell ref="E11:F11"/>
    <mergeCell ref="G11:H11"/>
    <mergeCell ref="I11:J11"/>
    <mergeCell ref="K11:L11"/>
    <mergeCell ref="R2:T4"/>
    <mergeCell ref="A142:A157"/>
    <mergeCell ref="B142:P142"/>
    <mergeCell ref="B143:B144"/>
    <mergeCell ref="C143:D143"/>
    <mergeCell ref="E143:F143"/>
    <mergeCell ref="G143:H143"/>
    <mergeCell ref="I143:J143"/>
    <mergeCell ref="K143:L143"/>
    <mergeCell ref="M143:N143"/>
    <mergeCell ref="O143:P143"/>
    <mergeCell ref="B150:P150"/>
    <mergeCell ref="B151:B152"/>
    <mergeCell ref="C151:D151"/>
    <mergeCell ref="E151:F151"/>
    <mergeCell ref="G151:H151"/>
    <mergeCell ref="I151:J151"/>
    <mergeCell ref="E65:F65"/>
    <mergeCell ref="G65:H65"/>
    <mergeCell ref="I65:J65"/>
    <mergeCell ref="K151:L151"/>
    <mergeCell ref="M151:N151"/>
    <mergeCell ref="O151:P151"/>
    <mergeCell ref="B65:B66"/>
    <mergeCell ref="C89:D89"/>
    <mergeCell ref="E89:F89"/>
    <mergeCell ref="G89:H89"/>
    <mergeCell ref="I89:J89"/>
    <mergeCell ref="O97:P97"/>
    <mergeCell ref="G75:H75"/>
    <mergeCell ref="C65:D65"/>
    <mergeCell ref="B56:P56"/>
    <mergeCell ref="B57:B58"/>
    <mergeCell ref="K57:L57"/>
    <mergeCell ref="M57:N57"/>
    <mergeCell ref="O57:P57"/>
    <mergeCell ref="K65:L65"/>
    <mergeCell ref="M65:N65"/>
    <mergeCell ref="O65:P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K47:L47"/>
    <mergeCell ref="M47:N47"/>
    <mergeCell ref="O47:P47"/>
    <mergeCell ref="A160:A175"/>
    <mergeCell ref="B160:P160"/>
    <mergeCell ref="B161:B162"/>
    <mergeCell ref="C161:D161"/>
    <mergeCell ref="E161:F161"/>
    <mergeCell ref="G161:H161"/>
    <mergeCell ref="I161:J161"/>
    <mergeCell ref="K161:L161"/>
    <mergeCell ref="M161:N161"/>
    <mergeCell ref="O161:P161"/>
    <mergeCell ref="B168:P168"/>
    <mergeCell ref="B169:B170"/>
    <mergeCell ref="C169:D169"/>
    <mergeCell ref="E169:F169"/>
    <mergeCell ref="G169:H169"/>
    <mergeCell ref="I169:J169"/>
    <mergeCell ref="K169:L169"/>
    <mergeCell ref="M169:N169"/>
    <mergeCell ref="O169:P169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3ECF-4C3C-4A6A-93FD-C9EEDD50477C}">
  <dimension ref="A2:M79"/>
  <sheetViews>
    <sheetView topLeftCell="A33" zoomScaleNormal="100" workbookViewId="0">
      <selection activeCell="C70" sqref="C70"/>
    </sheetView>
  </sheetViews>
  <sheetFormatPr defaultColWidth="10.58203125" defaultRowHeight="15" customHeight="1" x14ac:dyDescent="0.3"/>
  <cols>
    <col min="1" max="9" width="15.58203125" style="1" customWidth="1"/>
    <col min="10" max="16384" width="10.58203125" style="1"/>
  </cols>
  <sheetData>
    <row r="2" spans="1:13" ht="15" customHeight="1" x14ac:dyDescent="0.3">
      <c r="A2" s="10" t="s">
        <v>49</v>
      </c>
      <c r="B2" s="11" t="s">
        <v>13</v>
      </c>
      <c r="C2" s="11"/>
      <c r="D2" s="11"/>
      <c r="E2" s="11"/>
      <c r="F2" s="11"/>
      <c r="G2" s="11"/>
      <c r="H2" s="11"/>
      <c r="I2" s="11"/>
      <c r="K2" s="16" t="s">
        <v>48</v>
      </c>
      <c r="L2" s="16"/>
      <c r="M2" s="16"/>
    </row>
    <row r="3" spans="1:13" ht="15" customHeight="1" x14ac:dyDescent="0.3">
      <c r="A3" s="10"/>
      <c r="B3" s="8" t="s">
        <v>0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K3" s="16"/>
      <c r="L3" s="16"/>
      <c r="M3" s="16"/>
    </row>
    <row r="4" spans="1:13" ht="15" customHeight="1" x14ac:dyDescent="0.3">
      <c r="A4" s="10"/>
      <c r="B4" s="1" t="s">
        <v>8</v>
      </c>
      <c r="C4" s="3">
        <v>3.4887600000000001</v>
      </c>
      <c r="D4" s="3">
        <v>3.9917199999999999</v>
      </c>
      <c r="E4" s="3">
        <v>3.9032499999999999</v>
      </c>
      <c r="F4" s="3">
        <v>3.5311699999999999</v>
      </c>
      <c r="G4" s="3">
        <v>3.2837900000000002</v>
      </c>
      <c r="H4" s="3">
        <v>3.0286900000000001</v>
      </c>
      <c r="I4" s="3">
        <f>AVERAGE(C4:H4)</f>
        <v>3.5378966666666667</v>
      </c>
      <c r="K4" s="16"/>
      <c r="L4" s="16"/>
      <c r="M4" s="16"/>
    </row>
    <row r="5" spans="1:13" ht="15" customHeight="1" x14ac:dyDescent="0.3">
      <c r="A5" s="10"/>
      <c r="B5" s="1" t="s">
        <v>9</v>
      </c>
      <c r="C5" s="3">
        <v>3.5604499999999999</v>
      </c>
      <c r="D5" s="3">
        <v>4.0417300000000003</v>
      </c>
      <c r="E5" s="3">
        <v>3.9348399999999999</v>
      </c>
      <c r="F5" s="3">
        <v>3.6643300000000001</v>
      </c>
      <c r="G5" s="3">
        <v>3.3761100000000002</v>
      </c>
      <c r="H5" s="3">
        <v>3.1118700000000001</v>
      </c>
      <c r="I5" s="3">
        <f t="shared" ref="I5:I8" si="0">AVERAGE(C5:H5)</f>
        <v>3.614888333333333</v>
      </c>
      <c r="K5" s="16"/>
      <c r="L5" s="16"/>
      <c r="M5" s="16"/>
    </row>
    <row r="6" spans="1:13" ht="15" customHeight="1" x14ac:dyDescent="0.3">
      <c r="A6" s="10"/>
      <c r="B6" s="1" t="s">
        <v>10</v>
      </c>
      <c r="C6" s="3">
        <v>3.6102699999999999</v>
      </c>
      <c r="D6" s="3">
        <v>4.0987</v>
      </c>
      <c r="E6" s="3">
        <v>3.9797799999999999</v>
      </c>
      <c r="F6" s="3">
        <v>3.7359800000000001</v>
      </c>
      <c r="G6" s="3">
        <v>3.4294099999999998</v>
      </c>
      <c r="H6" s="3">
        <v>3.1799400000000002</v>
      </c>
      <c r="I6" s="3">
        <f t="shared" si="0"/>
        <v>3.672346666666666</v>
      </c>
      <c r="K6" s="16"/>
      <c r="L6" s="16"/>
      <c r="M6" s="16"/>
    </row>
    <row r="7" spans="1:13" ht="15" customHeight="1" x14ac:dyDescent="0.3">
      <c r="A7" s="10"/>
      <c r="B7" s="1" t="s">
        <v>11</v>
      </c>
      <c r="C7" s="3">
        <v>3.6406900000000002</v>
      </c>
      <c r="D7" s="3">
        <v>4.1417999999999999</v>
      </c>
      <c r="E7" s="3">
        <v>3.9980500000000001</v>
      </c>
      <c r="F7" s="3">
        <v>3.7732100000000002</v>
      </c>
      <c r="G7" s="3">
        <v>3.4695999999999998</v>
      </c>
      <c r="H7" s="3">
        <v>3.1838299999999999</v>
      </c>
      <c r="I7" s="3">
        <f t="shared" si="0"/>
        <v>3.7011966666666667</v>
      </c>
      <c r="K7" s="7"/>
      <c r="L7" s="7"/>
      <c r="M7" s="7"/>
    </row>
    <row r="8" spans="1:13" ht="15" customHeight="1" x14ac:dyDescent="0.3">
      <c r="A8" s="10"/>
      <c r="B8" s="2" t="s">
        <v>12</v>
      </c>
      <c r="C8" s="4">
        <v>3.6449799999999999</v>
      </c>
      <c r="D8" s="4">
        <v>4.1437999999999997</v>
      </c>
      <c r="E8" s="4">
        <v>4.0407999999999999</v>
      </c>
      <c r="F8" s="4">
        <v>3.7158699999999998</v>
      </c>
      <c r="G8" s="4">
        <v>3.4347500000000002</v>
      </c>
      <c r="H8" s="4">
        <v>3.1721300000000001</v>
      </c>
      <c r="I8" s="3">
        <f t="shared" si="0"/>
        <v>3.6920549999999999</v>
      </c>
      <c r="K8" s="7"/>
      <c r="L8" s="7"/>
      <c r="M8" s="7"/>
    </row>
    <row r="9" spans="1:13" ht="15" customHeight="1" x14ac:dyDescent="0.3">
      <c r="A9" s="10"/>
      <c r="B9" s="11" t="s">
        <v>14</v>
      </c>
      <c r="C9" s="11"/>
      <c r="D9" s="11"/>
      <c r="E9" s="11"/>
      <c r="F9" s="11"/>
      <c r="G9" s="11"/>
      <c r="H9" s="11"/>
      <c r="I9" s="11"/>
      <c r="K9" s="7"/>
      <c r="L9" s="7"/>
      <c r="M9" s="7"/>
    </row>
    <row r="10" spans="1:13" ht="15" customHeight="1" x14ac:dyDescent="0.3">
      <c r="A10" s="10"/>
      <c r="B10" s="8" t="s">
        <v>0</v>
      </c>
      <c r="C10" s="8" t="s">
        <v>1</v>
      </c>
      <c r="D10" s="8" t="s">
        <v>2</v>
      </c>
      <c r="E10" s="8" t="s">
        <v>3</v>
      </c>
      <c r="F10" s="8" t="s">
        <v>4</v>
      </c>
      <c r="G10" s="8" t="s">
        <v>5</v>
      </c>
      <c r="H10" s="8" t="s">
        <v>6</v>
      </c>
      <c r="I10" s="8" t="s">
        <v>7</v>
      </c>
      <c r="K10" s="7"/>
      <c r="L10" s="7"/>
      <c r="M10" s="7"/>
    </row>
    <row r="11" spans="1:13" ht="15" customHeight="1" x14ac:dyDescent="0.3">
      <c r="A11" s="10"/>
      <c r="B11" s="1" t="s">
        <v>8</v>
      </c>
      <c r="C11" s="3">
        <v>3.2531300000000001</v>
      </c>
      <c r="D11" s="3">
        <v>3.8433799999999998</v>
      </c>
      <c r="E11" s="3">
        <v>3.7427999999999999</v>
      </c>
      <c r="F11" s="3">
        <v>3.3991500000000001</v>
      </c>
      <c r="G11" s="3">
        <v>3.0832899999999999</v>
      </c>
      <c r="H11" s="3">
        <v>2.8618800000000002</v>
      </c>
      <c r="I11" s="3">
        <f>AVERAGE(C11:H11)</f>
        <v>3.3639383333333335</v>
      </c>
      <c r="K11" s="7"/>
      <c r="L11" s="7"/>
      <c r="M11" s="7"/>
    </row>
    <row r="12" spans="1:13" ht="15" customHeight="1" x14ac:dyDescent="0.3">
      <c r="A12" s="10"/>
      <c r="B12" s="1" t="s">
        <v>9</v>
      </c>
      <c r="C12" s="3">
        <v>3.3182100000000001</v>
      </c>
      <c r="D12" s="3">
        <v>3.8964099999999999</v>
      </c>
      <c r="E12" s="3">
        <v>3.7961800000000001</v>
      </c>
      <c r="F12" s="3">
        <v>3.49756</v>
      </c>
      <c r="G12" s="3">
        <v>3.1876799999999998</v>
      </c>
      <c r="H12" s="3">
        <v>2.9479799999999998</v>
      </c>
      <c r="I12" s="3">
        <f t="shared" ref="I12:I15" si="1">AVERAGE(C12:H12)</f>
        <v>3.4406700000000003</v>
      </c>
      <c r="K12" s="7"/>
      <c r="L12" s="7"/>
      <c r="M12" s="7"/>
    </row>
    <row r="13" spans="1:13" ht="15" customHeight="1" x14ac:dyDescent="0.3">
      <c r="A13" s="10"/>
      <c r="B13" s="1" t="s">
        <v>10</v>
      </c>
      <c r="C13" s="3">
        <v>3.3635100000000002</v>
      </c>
      <c r="D13" s="3">
        <v>3.95113</v>
      </c>
      <c r="E13" s="3">
        <v>3.8316300000000001</v>
      </c>
      <c r="F13" s="3">
        <v>3.51579</v>
      </c>
      <c r="G13" s="3">
        <v>3.2311000000000001</v>
      </c>
      <c r="H13" s="3">
        <v>3.0134400000000001</v>
      </c>
      <c r="I13" s="3">
        <f t="shared" si="1"/>
        <v>3.4844333333333335</v>
      </c>
      <c r="K13" s="7"/>
      <c r="L13" s="7"/>
      <c r="M13" s="7"/>
    </row>
    <row r="14" spans="1:13" ht="15" customHeight="1" x14ac:dyDescent="0.3">
      <c r="A14" s="10"/>
      <c r="B14" s="1" t="s">
        <v>11</v>
      </c>
      <c r="C14" s="3">
        <v>3.37913</v>
      </c>
      <c r="D14" s="3">
        <v>4.0005499999999996</v>
      </c>
      <c r="E14" s="3">
        <v>3.9093100000000001</v>
      </c>
      <c r="F14" s="3">
        <v>3.5877699999999999</v>
      </c>
      <c r="G14" s="3">
        <v>3.2903899999999999</v>
      </c>
      <c r="H14" s="3">
        <v>3.0245799999999998</v>
      </c>
      <c r="I14" s="3">
        <f t="shared" si="1"/>
        <v>3.531955</v>
      </c>
      <c r="K14" s="7"/>
      <c r="L14" s="7"/>
      <c r="M14" s="7"/>
    </row>
    <row r="15" spans="1:13" ht="15" customHeight="1" x14ac:dyDescent="0.3">
      <c r="A15" s="10"/>
      <c r="B15" s="2" t="s">
        <v>12</v>
      </c>
      <c r="C15" s="4">
        <v>3.3611300000000002</v>
      </c>
      <c r="D15" s="4">
        <v>4.0590400000000004</v>
      </c>
      <c r="E15" s="4">
        <v>3.8900800000000002</v>
      </c>
      <c r="F15" s="4">
        <v>3.4881500000000001</v>
      </c>
      <c r="G15" s="4">
        <v>3.2920500000000001</v>
      </c>
      <c r="H15" s="4">
        <v>2.9759099999999998</v>
      </c>
      <c r="I15" s="4">
        <f t="shared" si="1"/>
        <v>3.5110600000000001</v>
      </c>
      <c r="K15" s="7"/>
      <c r="L15" s="7"/>
      <c r="M15" s="7"/>
    </row>
    <row r="16" spans="1:13" ht="15" customHeight="1" x14ac:dyDescent="0.3">
      <c r="C16" s="3"/>
      <c r="D16" s="3"/>
      <c r="E16" s="3"/>
      <c r="F16" s="3"/>
      <c r="G16" s="3"/>
      <c r="H16" s="3"/>
      <c r="I16" s="3"/>
      <c r="K16" s="7"/>
      <c r="L16" s="7"/>
      <c r="M16" s="7"/>
    </row>
    <row r="17" spans="1:13" ht="15" customHeight="1" x14ac:dyDescent="0.3">
      <c r="K17" s="7"/>
      <c r="L17" s="7"/>
      <c r="M17" s="7"/>
    </row>
    <row r="18" spans="1:13" ht="15" customHeight="1" x14ac:dyDescent="0.3">
      <c r="A18" s="10" t="s">
        <v>38</v>
      </c>
      <c r="B18" s="11" t="s">
        <v>13</v>
      </c>
      <c r="C18" s="11"/>
      <c r="D18" s="11"/>
      <c r="E18" s="11"/>
      <c r="F18" s="11"/>
      <c r="G18" s="11"/>
      <c r="H18" s="11"/>
      <c r="I18" s="11"/>
      <c r="K18" s="7"/>
      <c r="L18" s="7"/>
      <c r="M18" s="7"/>
    </row>
    <row r="19" spans="1:13" ht="15" customHeight="1" x14ac:dyDescent="0.3">
      <c r="A19" s="10"/>
      <c r="B19" s="8" t="s">
        <v>0</v>
      </c>
      <c r="C19" s="8" t="s">
        <v>1</v>
      </c>
      <c r="D19" s="8" t="s">
        <v>2</v>
      </c>
      <c r="E19" s="8" t="s">
        <v>3</v>
      </c>
      <c r="F19" s="8" t="s">
        <v>4</v>
      </c>
      <c r="G19" s="8" t="s">
        <v>5</v>
      </c>
      <c r="H19" s="8" t="s">
        <v>6</v>
      </c>
      <c r="I19" s="8" t="s">
        <v>7</v>
      </c>
      <c r="K19" s="7"/>
      <c r="L19" s="7"/>
      <c r="M19" s="7"/>
    </row>
    <row r="20" spans="1:13" ht="15" customHeight="1" x14ac:dyDescent="0.3">
      <c r="A20" s="10"/>
      <c r="B20" s="1" t="s">
        <v>8</v>
      </c>
      <c r="C20" s="3">
        <v>3.63564</v>
      </c>
      <c r="D20" s="3">
        <v>4.1789699999999996</v>
      </c>
      <c r="E20" s="3">
        <v>4.0852000000000004</v>
      </c>
      <c r="F20" s="3">
        <v>3.7397300000000002</v>
      </c>
      <c r="G20" s="3">
        <v>3.45722</v>
      </c>
      <c r="H20" s="3">
        <v>3.13395</v>
      </c>
      <c r="I20" s="3">
        <f>AVERAGE(C20:H20)</f>
        <v>3.7051183333333331</v>
      </c>
      <c r="K20" s="7"/>
      <c r="L20" s="7"/>
      <c r="M20" s="7"/>
    </row>
    <row r="21" spans="1:13" ht="15" customHeight="1" x14ac:dyDescent="0.3">
      <c r="A21" s="10"/>
      <c r="B21" s="1" t="s">
        <v>9</v>
      </c>
      <c r="C21" s="3">
        <v>3.71075</v>
      </c>
      <c r="D21" s="3">
        <v>4.2840199999999999</v>
      </c>
      <c r="E21" s="3">
        <v>4.1320499999999996</v>
      </c>
      <c r="F21" s="3">
        <v>3.81094</v>
      </c>
      <c r="G21" s="3">
        <v>3.5468700000000002</v>
      </c>
      <c r="H21" s="3">
        <v>3.2225700000000002</v>
      </c>
      <c r="I21" s="3">
        <f t="shared" ref="I21:I24" si="2">AVERAGE(C21:H21)</f>
        <v>3.7845333333333335</v>
      </c>
      <c r="K21" s="7"/>
      <c r="L21" s="7"/>
      <c r="M21" s="7"/>
    </row>
    <row r="22" spans="1:13" ht="15" customHeight="1" x14ac:dyDescent="0.3">
      <c r="A22" s="10"/>
      <c r="B22" s="1" t="s">
        <v>10</v>
      </c>
      <c r="C22" s="3">
        <v>3.7817099999999999</v>
      </c>
      <c r="D22" s="3">
        <v>4.3186200000000001</v>
      </c>
      <c r="E22" s="3">
        <v>4.1997499999999999</v>
      </c>
      <c r="F22" s="3">
        <v>3.9019499999999998</v>
      </c>
      <c r="G22" s="3">
        <v>3.6182599999999998</v>
      </c>
      <c r="H22" s="3">
        <v>3.31412</v>
      </c>
      <c r="I22" s="3">
        <f t="shared" si="2"/>
        <v>3.8557349999999997</v>
      </c>
      <c r="K22" s="7"/>
      <c r="L22" s="7"/>
      <c r="M22" s="7"/>
    </row>
    <row r="23" spans="1:13" ht="15" customHeight="1" x14ac:dyDescent="0.3">
      <c r="A23" s="10"/>
      <c r="B23" s="1" t="s">
        <v>11</v>
      </c>
      <c r="C23" s="3">
        <v>3.7954300000000001</v>
      </c>
      <c r="D23" s="3">
        <v>4.3294100000000002</v>
      </c>
      <c r="E23" s="3">
        <v>4.2097199999999999</v>
      </c>
      <c r="F23" s="3">
        <v>3.9214099999999998</v>
      </c>
      <c r="G23" s="3">
        <v>3.62622</v>
      </c>
      <c r="H23" s="3">
        <v>3.3083100000000001</v>
      </c>
      <c r="I23" s="3">
        <f t="shared" si="2"/>
        <v>3.8650833333333328</v>
      </c>
      <c r="K23" s="7"/>
      <c r="L23" s="7"/>
      <c r="M23" s="7"/>
    </row>
    <row r="24" spans="1:13" ht="15" customHeight="1" x14ac:dyDescent="0.3">
      <c r="A24" s="10"/>
      <c r="B24" s="2" t="s">
        <v>12</v>
      </c>
      <c r="C24" s="4">
        <v>3.7794500000000002</v>
      </c>
      <c r="D24" s="4">
        <v>4.3605</v>
      </c>
      <c r="E24" s="4">
        <v>4.2397499999999999</v>
      </c>
      <c r="F24" s="4">
        <v>3.89344</v>
      </c>
      <c r="G24" s="4">
        <v>3.6080700000000001</v>
      </c>
      <c r="H24" s="4">
        <v>3.2756400000000001</v>
      </c>
      <c r="I24" s="3">
        <f t="shared" si="2"/>
        <v>3.8594749999999998</v>
      </c>
      <c r="K24" s="7"/>
      <c r="L24" s="7"/>
      <c r="M24" s="7"/>
    </row>
    <row r="25" spans="1:13" ht="15" customHeight="1" x14ac:dyDescent="0.3">
      <c r="A25" s="10"/>
      <c r="B25" s="11" t="s">
        <v>14</v>
      </c>
      <c r="C25" s="11"/>
      <c r="D25" s="11"/>
      <c r="E25" s="11"/>
      <c r="F25" s="11"/>
      <c r="G25" s="11"/>
      <c r="H25" s="11"/>
      <c r="I25" s="11"/>
      <c r="K25" s="7"/>
      <c r="L25" s="7"/>
      <c r="M25" s="7"/>
    </row>
    <row r="26" spans="1:13" ht="15" customHeight="1" x14ac:dyDescent="0.3">
      <c r="A26" s="10"/>
      <c r="B26" s="8" t="s">
        <v>0</v>
      </c>
      <c r="C26" s="8" t="s">
        <v>1</v>
      </c>
      <c r="D26" s="8" t="s">
        <v>2</v>
      </c>
      <c r="E26" s="8" t="s">
        <v>3</v>
      </c>
      <c r="F26" s="8" t="s">
        <v>4</v>
      </c>
      <c r="G26" s="8" t="s">
        <v>5</v>
      </c>
      <c r="H26" s="8" t="s">
        <v>6</v>
      </c>
      <c r="I26" s="8" t="s">
        <v>7</v>
      </c>
      <c r="K26" s="7"/>
      <c r="L26" s="7"/>
      <c r="M26" s="7"/>
    </row>
    <row r="27" spans="1:13" ht="15" customHeight="1" x14ac:dyDescent="0.3">
      <c r="A27" s="10"/>
      <c r="B27" s="1" t="s">
        <v>8</v>
      </c>
      <c r="C27" s="3">
        <v>3.4085200000000002</v>
      </c>
      <c r="D27" s="3">
        <v>4.0423600000000004</v>
      </c>
      <c r="E27" s="3">
        <v>4.0002000000000004</v>
      </c>
      <c r="F27" s="3">
        <v>3.4714999999999998</v>
      </c>
      <c r="G27" s="3">
        <v>3.2962500000000001</v>
      </c>
      <c r="H27" s="3">
        <v>2.9443999999999999</v>
      </c>
      <c r="I27" s="3">
        <f>AVERAGE(C27:H27)</f>
        <v>3.5272049999999999</v>
      </c>
      <c r="K27" s="7"/>
      <c r="L27" s="7"/>
      <c r="M27" s="7"/>
    </row>
    <row r="28" spans="1:13" ht="15" customHeight="1" x14ac:dyDescent="0.3">
      <c r="A28" s="10"/>
      <c r="B28" s="1" t="s">
        <v>9</v>
      </c>
      <c r="C28" s="3">
        <v>3.46767</v>
      </c>
      <c r="D28" s="3">
        <v>4.1056999999999997</v>
      </c>
      <c r="E28" s="3">
        <v>4.00054</v>
      </c>
      <c r="F28" s="3">
        <v>3.5737800000000002</v>
      </c>
      <c r="G28" s="3">
        <v>3.3565700000000001</v>
      </c>
      <c r="H28" s="3">
        <v>3.0705399999999998</v>
      </c>
      <c r="I28" s="3">
        <f t="shared" ref="I28:I31" si="3">AVERAGE(C28:H28)</f>
        <v>3.5958000000000006</v>
      </c>
      <c r="K28" s="7"/>
      <c r="L28" s="7"/>
      <c r="M28" s="7"/>
    </row>
    <row r="29" spans="1:13" ht="15" customHeight="1" x14ac:dyDescent="0.3">
      <c r="A29" s="10"/>
      <c r="B29" s="1" t="s">
        <v>10</v>
      </c>
      <c r="C29" s="3">
        <v>3.5109400000000002</v>
      </c>
      <c r="D29" s="3">
        <v>4.1886799999999997</v>
      </c>
      <c r="E29" s="3">
        <v>4.0579400000000003</v>
      </c>
      <c r="F29" s="3">
        <v>3.6974999999999998</v>
      </c>
      <c r="G29" s="3">
        <v>3.3977400000000002</v>
      </c>
      <c r="H29" s="3">
        <v>3.0627900000000001</v>
      </c>
      <c r="I29" s="3">
        <f t="shared" si="3"/>
        <v>3.6525983333333332</v>
      </c>
      <c r="K29" s="7"/>
      <c r="L29" s="7"/>
      <c r="M29" s="7"/>
    </row>
    <row r="30" spans="1:13" ht="15" customHeight="1" x14ac:dyDescent="0.3">
      <c r="A30" s="10"/>
      <c r="B30" s="1" t="s">
        <v>11</v>
      </c>
      <c r="C30" s="3">
        <v>3.5338400000000001</v>
      </c>
      <c r="D30" s="3">
        <v>4.2080599999999997</v>
      </c>
      <c r="E30" s="3">
        <v>4.0464700000000002</v>
      </c>
      <c r="F30" s="3">
        <v>3.65428</v>
      </c>
      <c r="G30" s="3">
        <v>3.4077999999999999</v>
      </c>
      <c r="H30" s="3">
        <v>3.1423000000000001</v>
      </c>
      <c r="I30" s="3">
        <f t="shared" si="3"/>
        <v>3.6654583333333335</v>
      </c>
      <c r="K30" s="7"/>
      <c r="L30" s="7"/>
      <c r="M30" s="7"/>
    </row>
    <row r="31" spans="1:13" ht="15" customHeight="1" x14ac:dyDescent="0.3">
      <c r="A31" s="10"/>
      <c r="B31" s="2" t="s">
        <v>12</v>
      </c>
      <c r="C31" s="4">
        <v>3.5156399999999999</v>
      </c>
      <c r="D31" s="4">
        <v>4.2104799999999996</v>
      </c>
      <c r="E31" s="4">
        <v>4.0918400000000004</v>
      </c>
      <c r="F31" s="4">
        <v>3.6869200000000002</v>
      </c>
      <c r="G31" s="4">
        <v>3.3616299999999999</v>
      </c>
      <c r="H31" s="4">
        <v>3.04182</v>
      </c>
      <c r="I31" s="4">
        <f t="shared" si="3"/>
        <v>3.6513883333333332</v>
      </c>
      <c r="K31" s="7"/>
      <c r="L31" s="7"/>
      <c r="M31" s="7"/>
    </row>
    <row r="32" spans="1:13" ht="15" customHeight="1" x14ac:dyDescent="0.3">
      <c r="C32" s="3"/>
      <c r="D32" s="3"/>
      <c r="E32" s="3"/>
      <c r="F32" s="3"/>
      <c r="G32" s="3"/>
      <c r="H32" s="3"/>
      <c r="I32" s="3"/>
      <c r="K32" s="7"/>
      <c r="L32" s="7"/>
      <c r="M32" s="7"/>
    </row>
    <row r="33" spans="1:13" ht="15" customHeight="1" x14ac:dyDescent="0.3">
      <c r="K33" s="7"/>
      <c r="L33" s="7"/>
      <c r="M33" s="7"/>
    </row>
    <row r="34" spans="1:13" ht="15" customHeight="1" x14ac:dyDescent="0.3">
      <c r="A34" s="10" t="s">
        <v>50</v>
      </c>
      <c r="B34" s="11" t="s">
        <v>13</v>
      </c>
      <c r="C34" s="11"/>
      <c r="D34" s="11"/>
      <c r="E34" s="11"/>
      <c r="F34" s="11"/>
      <c r="G34" s="11"/>
      <c r="H34" s="11"/>
      <c r="I34" s="11"/>
      <c r="K34" s="7"/>
      <c r="L34" s="7"/>
      <c r="M34" s="7"/>
    </row>
    <row r="35" spans="1:13" ht="15" customHeight="1" x14ac:dyDescent="0.3">
      <c r="A35" s="10"/>
      <c r="B35" s="8" t="s">
        <v>0</v>
      </c>
      <c r="C35" s="8" t="s">
        <v>1</v>
      </c>
      <c r="D35" s="8" t="s">
        <v>2</v>
      </c>
      <c r="E35" s="8" t="s">
        <v>3</v>
      </c>
      <c r="F35" s="8" t="s">
        <v>4</v>
      </c>
      <c r="G35" s="8" t="s">
        <v>5</v>
      </c>
      <c r="H35" s="8" t="s">
        <v>6</v>
      </c>
      <c r="I35" s="8" t="s">
        <v>7</v>
      </c>
      <c r="K35" s="7"/>
      <c r="L35" s="7"/>
      <c r="M35" s="7"/>
    </row>
    <row r="36" spans="1:13" ht="15" customHeight="1" x14ac:dyDescent="0.3">
      <c r="A36" s="10"/>
      <c r="B36" s="1" t="s">
        <v>8</v>
      </c>
      <c r="C36" s="3">
        <v>3.7365200000000001</v>
      </c>
      <c r="D36" s="3">
        <v>4.3253899999999996</v>
      </c>
      <c r="E36" s="3">
        <v>4.1037499999999998</v>
      </c>
      <c r="F36" s="3">
        <v>3.9342899999999998</v>
      </c>
      <c r="G36" s="3">
        <v>3.4058899999999999</v>
      </c>
      <c r="H36" s="3">
        <v>3.1698300000000001</v>
      </c>
      <c r="I36" s="3">
        <f>AVERAGE(C36:H36)</f>
        <v>3.7792783333333335</v>
      </c>
      <c r="K36" s="7"/>
      <c r="L36" s="7"/>
      <c r="M36" s="7"/>
    </row>
    <row r="37" spans="1:13" ht="15" customHeight="1" x14ac:dyDescent="0.3">
      <c r="A37" s="10"/>
      <c r="B37" s="1" t="s">
        <v>9</v>
      </c>
      <c r="C37" s="3">
        <v>3.8890500000000001</v>
      </c>
      <c r="D37" s="3">
        <v>4.4340999999999999</v>
      </c>
      <c r="E37" s="3">
        <v>4.2896099999999997</v>
      </c>
      <c r="F37" s="3">
        <v>4.0579400000000003</v>
      </c>
      <c r="G37" s="3">
        <v>3.5397699999999999</v>
      </c>
      <c r="H37" s="3">
        <v>3.32416</v>
      </c>
      <c r="I37" s="3">
        <f>AVERAGE(C37:H37)</f>
        <v>3.9224383333333335</v>
      </c>
      <c r="K37" s="7"/>
      <c r="L37" s="7"/>
      <c r="M37" s="7"/>
    </row>
    <row r="38" spans="1:13" ht="15" customHeight="1" x14ac:dyDescent="0.3">
      <c r="A38" s="10"/>
      <c r="B38" s="1" t="s">
        <v>10</v>
      </c>
      <c r="C38" s="3">
        <v>4.0133700000000001</v>
      </c>
      <c r="D38" s="3">
        <v>4.5203899999999999</v>
      </c>
      <c r="E38" s="3">
        <v>4.3979499999999998</v>
      </c>
      <c r="F38" s="3">
        <v>4.1351000000000004</v>
      </c>
      <c r="G38" s="3">
        <v>3.6560899999999998</v>
      </c>
      <c r="H38" s="3">
        <v>3.4356399999999998</v>
      </c>
      <c r="I38" s="3">
        <f>AVERAGE(C38:H38)</f>
        <v>4.0264233333333328</v>
      </c>
      <c r="K38" s="7"/>
      <c r="L38" s="7"/>
      <c r="M38" s="7"/>
    </row>
    <row r="39" spans="1:13" ht="15" customHeight="1" x14ac:dyDescent="0.3">
      <c r="A39" s="10"/>
      <c r="B39" s="1" t="s">
        <v>11</v>
      </c>
      <c r="C39" s="3">
        <v>4.0481499999999997</v>
      </c>
      <c r="D39" s="3">
        <v>4.5385</v>
      </c>
      <c r="E39" s="3">
        <v>4.4717000000000002</v>
      </c>
      <c r="F39" s="3">
        <v>4.2060399999999998</v>
      </c>
      <c r="G39" s="3">
        <v>3.7328700000000001</v>
      </c>
      <c r="H39" s="3">
        <v>3.51709</v>
      </c>
      <c r="I39" s="3">
        <f>AVERAGE(C39:H39)</f>
        <v>4.0857249999999992</v>
      </c>
      <c r="K39" s="7"/>
      <c r="L39" s="7"/>
      <c r="M39" s="7"/>
    </row>
    <row r="40" spans="1:13" ht="15" customHeight="1" x14ac:dyDescent="0.3">
      <c r="A40" s="10"/>
      <c r="B40" s="2" t="s">
        <v>12</v>
      </c>
      <c r="C40" s="4">
        <v>4.0620900000000004</v>
      </c>
      <c r="D40" s="4">
        <v>4.5435800000000004</v>
      </c>
      <c r="E40" s="4">
        <v>4.45817</v>
      </c>
      <c r="F40" s="4">
        <v>4.1726000000000001</v>
      </c>
      <c r="G40" s="4">
        <v>3.7221899999999999</v>
      </c>
      <c r="H40" s="4">
        <v>3.5068100000000002</v>
      </c>
      <c r="I40" s="4">
        <f>AVERAGE(C40:H40)</f>
        <v>4.0775733333333335</v>
      </c>
      <c r="K40" s="7"/>
      <c r="L40" s="7"/>
      <c r="M40" s="7"/>
    </row>
    <row r="41" spans="1:13" ht="15" customHeight="1" x14ac:dyDescent="0.3">
      <c r="A41" s="10"/>
      <c r="B41" s="11" t="s">
        <v>14</v>
      </c>
      <c r="C41" s="11"/>
      <c r="D41" s="11"/>
      <c r="E41" s="11"/>
      <c r="F41" s="11"/>
      <c r="G41" s="11"/>
      <c r="H41" s="11"/>
      <c r="I41" s="11"/>
      <c r="K41" s="7"/>
      <c r="L41" s="7"/>
      <c r="M41" s="7"/>
    </row>
    <row r="42" spans="1:13" ht="15" customHeight="1" x14ac:dyDescent="0.3">
      <c r="A42" s="10"/>
      <c r="B42" s="8" t="s">
        <v>0</v>
      </c>
      <c r="C42" s="8" t="s">
        <v>1</v>
      </c>
      <c r="D42" s="8" t="s">
        <v>2</v>
      </c>
      <c r="E42" s="8" t="s">
        <v>3</v>
      </c>
      <c r="F42" s="8" t="s">
        <v>4</v>
      </c>
      <c r="G42" s="8" t="s">
        <v>5</v>
      </c>
      <c r="H42" s="8" t="s">
        <v>6</v>
      </c>
      <c r="I42" s="8" t="s">
        <v>7</v>
      </c>
      <c r="K42" s="7"/>
      <c r="L42" s="7"/>
      <c r="M42" s="7"/>
    </row>
    <row r="43" spans="1:13" ht="15" customHeight="1" x14ac:dyDescent="0.3">
      <c r="A43" s="10"/>
      <c r="B43" s="1" t="s">
        <v>8</v>
      </c>
      <c r="C43" s="3">
        <v>3.4531000000000001</v>
      </c>
      <c r="D43" s="3">
        <v>4.16472</v>
      </c>
      <c r="E43" s="3">
        <v>4.0067300000000001</v>
      </c>
      <c r="F43" s="3">
        <v>3.6322199999999998</v>
      </c>
      <c r="G43" s="3">
        <v>3.15422</v>
      </c>
      <c r="H43" s="3">
        <v>2.9299300000000001</v>
      </c>
      <c r="I43" s="3">
        <f>AVERAGE(C43:H43)</f>
        <v>3.5568199999999996</v>
      </c>
      <c r="K43" s="7"/>
      <c r="L43" s="7"/>
      <c r="M43" s="7"/>
    </row>
    <row r="44" spans="1:13" ht="15" customHeight="1" x14ac:dyDescent="0.3">
      <c r="A44" s="10"/>
      <c r="B44" s="1" t="s">
        <v>9</v>
      </c>
      <c r="C44" s="3">
        <v>3.58365</v>
      </c>
      <c r="D44" s="3">
        <v>4.2322100000000002</v>
      </c>
      <c r="E44" s="3">
        <v>4.1231099999999996</v>
      </c>
      <c r="F44" s="3">
        <v>3.7655099999999999</v>
      </c>
      <c r="G44" s="3">
        <v>3.2477200000000002</v>
      </c>
      <c r="H44" s="3">
        <v>3.1305000000000001</v>
      </c>
      <c r="I44" s="3">
        <f>AVERAGE(C44:H44)</f>
        <v>3.6804500000000004</v>
      </c>
      <c r="K44" s="7"/>
      <c r="L44" s="7"/>
      <c r="M44" s="7"/>
    </row>
    <row r="45" spans="1:13" ht="15" customHeight="1" x14ac:dyDescent="0.3">
      <c r="A45" s="10"/>
      <c r="B45" s="1" t="s">
        <v>10</v>
      </c>
      <c r="C45" s="3">
        <v>3.7147000000000001</v>
      </c>
      <c r="D45" s="3">
        <v>4.3580100000000002</v>
      </c>
      <c r="E45" s="3">
        <v>4.2542200000000001</v>
      </c>
      <c r="F45" s="3">
        <v>3.8714</v>
      </c>
      <c r="G45" s="3">
        <v>3.42137</v>
      </c>
      <c r="H45" s="3">
        <v>3.2149800000000002</v>
      </c>
      <c r="I45" s="3">
        <f>AVERAGE(C45:H45)</f>
        <v>3.8057800000000004</v>
      </c>
      <c r="K45" s="7"/>
      <c r="L45" s="7"/>
      <c r="M45" s="7"/>
    </row>
    <row r="46" spans="1:13" ht="15" customHeight="1" x14ac:dyDescent="0.3">
      <c r="A46" s="10"/>
      <c r="B46" s="1" t="s">
        <v>11</v>
      </c>
      <c r="C46" s="3">
        <v>3.73434</v>
      </c>
      <c r="D46" s="3">
        <v>4.3380099999999997</v>
      </c>
      <c r="E46" s="3">
        <v>4.3309699999999998</v>
      </c>
      <c r="F46" s="3">
        <v>3.9077000000000002</v>
      </c>
      <c r="G46" s="3">
        <v>3.4649700000000001</v>
      </c>
      <c r="H46" s="3">
        <v>3.2824599999999999</v>
      </c>
      <c r="I46" s="3">
        <f>AVERAGE(C46:H46)</f>
        <v>3.8430750000000002</v>
      </c>
      <c r="K46" s="7"/>
      <c r="L46" s="7"/>
      <c r="M46" s="7"/>
    </row>
    <row r="47" spans="1:13" ht="15" customHeight="1" x14ac:dyDescent="0.3">
      <c r="A47" s="10"/>
      <c r="B47" s="2" t="s">
        <v>12</v>
      </c>
      <c r="C47" s="4">
        <v>3.7559300000000002</v>
      </c>
      <c r="D47" s="4">
        <v>4.4013499999999999</v>
      </c>
      <c r="E47" s="4">
        <v>4.3161100000000001</v>
      </c>
      <c r="F47" s="4">
        <v>3.95845</v>
      </c>
      <c r="G47" s="4">
        <v>3.45113</v>
      </c>
      <c r="H47" s="4">
        <v>3.2126100000000002</v>
      </c>
      <c r="I47" s="4">
        <f>AVERAGE(C47:H47)</f>
        <v>3.8492633333333335</v>
      </c>
      <c r="K47" s="7"/>
      <c r="L47" s="7"/>
      <c r="M47" s="7"/>
    </row>
    <row r="48" spans="1:13" ht="15" customHeight="1" x14ac:dyDescent="0.3">
      <c r="K48" s="7"/>
      <c r="L48" s="7"/>
      <c r="M48" s="7"/>
    </row>
    <row r="50" spans="1:9" ht="15" customHeight="1" x14ac:dyDescent="0.3">
      <c r="A50" s="9" t="s">
        <v>51</v>
      </c>
      <c r="B50" s="11" t="s">
        <v>13</v>
      </c>
      <c r="C50" s="11"/>
      <c r="D50" s="11"/>
      <c r="E50" s="11"/>
      <c r="F50" s="11"/>
      <c r="G50" s="11"/>
      <c r="H50" s="11"/>
      <c r="I50" s="11"/>
    </row>
    <row r="51" spans="1:9" ht="15" customHeight="1" x14ac:dyDescent="0.3">
      <c r="A51" s="10"/>
      <c r="B51" s="8" t="s">
        <v>0</v>
      </c>
      <c r="C51" s="8" t="s">
        <v>1</v>
      </c>
      <c r="D51" s="8" t="s">
        <v>2</v>
      </c>
      <c r="E51" s="8" t="s">
        <v>3</v>
      </c>
      <c r="F51" s="8" t="s">
        <v>4</v>
      </c>
      <c r="G51" s="8" t="s">
        <v>5</v>
      </c>
      <c r="H51" s="8" t="s">
        <v>6</v>
      </c>
      <c r="I51" s="8" t="s">
        <v>7</v>
      </c>
    </row>
    <row r="52" spans="1:9" ht="15" customHeight="1" x14ac:dyDescent="0.3">
      <c r="A52" s="10"/>
      <c r="B52" s="1" t="s">
        <v>31</v>
      </c>
      <c r="C52" s="3">
        <v>3.9073099999999998</v>
      </c>
      <c r="D52" s="3">
        <v>4.5342099999999999</v>
      </c>
      <c r="E52" s="3">
        <v>4.3727200000000002</v>
      </c>
      <c r="F52" s="3">
        <v>4.0216599999999998</v>
      </c>
      <c r="G52" s="3">
        <v>3.7646899999999999</v>
      </c>
      <c r="H52" s="3">
        <v>3.3768199999999999</v>
      </c>
      <c r="I52" s="3">
        <f>AVERAGE(C52:H52)</f>
        <v>3.9962350000000004</v>
      </c>
    </row>
    <row r="53" spans="1:9" ht="15" customHeight="1" x14ac:dyDescent="0.3">
      <c r="A53" s="10"/>
      <c r="B53" s="1" t="s">
        <v>32</v>
      </c>
      <c r="C53" s="3">
        <v>3.9943200000000001</v>
      </c>
      <c r="D53" s="3">
        <v>4.5673700000000004</v>
      </c>
      <c r="E53" s="3">
        <v>4.4665699999999999</v>
      </c>
      <c r="F53" s="3">
        <v>4.0601399999999996</v>
      </c>
      <c r="G53" s="3">
        <v>3.8297500000000002</v>
      </c>
      <c r="H53" s="3">
        <v>3.49187</v>
      </c>
      <c r="I53" s="3">
        <f t="shared" ref="I53:I56" si="4">AVERAGE(C53:H53)</f>
        <v>4.0683366666666663</v>
      </c>
    </row>
    <row r="54" spans="1:9" ht="15" customHeight="1" x14ac:dyDescent="0.3">
      <c r="A54" s="10"/>
      <c r="B54" s="1" t="s">
        <v>33</v>
      </c>
      <c r="C54" s="3">
        <v>4.10656</v>
      </c>
      <c r="D54" s="3">
        <v>4.6516900000000003</v>
      </c>
      <c r="E54" s="3">
        <v>4.5485300000000004</v>
      </c>
      <c r="F54" s="3">
        <v>4.1994899999999999</v>
      </c>
      <c r="G54" s="3">
        <v>3.9811899999999998</v>
      </c>
      <c r="H54" s="3">
        <v>3.60128</v>
      </c>
      <c r="I54" s="3">
        <f t="shared" si="4"/>
        <v>4.1814566666666666</v>
      </c>
    </row>
    <row r="55" spans="1:9" ht="15" customHeight="1" x14ac:dyDescent="0.3">
      <c r="A55" s="10"/>
      <c r="B55" s="1" t="s">
        <v>34</v>
      </c>
      <c r="C55" s="3">
        <v>4.1453800000000003</v>
      </c>
      <c r="D55" s="3">
        <v>4.6846899999999998</v>
      </c>
      <c r="E55" s="3">
        <v>4.5937400000000004</v>
      </c>
      <c r="F55" s="3">
        <v>4.2328299999999999</v>
      </c>
      <c r="G55" s="3">
        <v>4.0305499999999999</v>
      </c>
      <c r="H55" s="3">
        <v>3.6250399999999998</v>
      </c>
      <c r="I55" s="3">
        <f t="shared" si="4"/>
        <v>4.2187049999999999</v>
      </c>
    </row>
    <row r="56" spans="1:9" ht="15" customHeight="1" x14ac:dyDescent="0.3">
      <c r="A56" s="10"/>
      <c r="B56" s="2" t="s">
        <v>35</v>
      </c>
      <c r="C56" s="4">
        <v>4.1698199999999996</v>
      </c>
      <c r="D56" s="4">
        <v>4.6843300000000001</v>
      </c>
      <c r="E56" s="4">
        <v>4.6005599999999998</v>
      </c>
      <c r="F56" s="4">
        <v>4.2334300000000002</v>
      </c>
      <c r="G56" s="4">
        <v>4.07043</v>
      </c>
      <c r="H56" s="4">
        <v>3.66852</v>
      </c>
      <c r="I56" s="3">
        <f t="shared" si="4"/>
        <v>4.237848333333333</v>
      </c>
    </row>
    <row r="57" spans="1:9" ht="15" customHeight="1" x14ac:dyDescent="0.3">
      <c r="A57" s="10"/>
      <c r="B57" s="11" t="s">
        <v>14</v>
      </c>
      <c r="C57" s="11"/>
      <c r="D57" s="11"/>
      <c r="E57" s="11"/>
      <c r="F57" s="11"/>
      <c r="G57" s="11"/>
      <c r="H57" s="11"/>
      <c r="I57" s="11"/>
    </row>
    <row r="58" spans="1:9" ht="15" customHeight="1" x14ac:dyDescent="0.3">
      <c r="A58" s="10"/>
      <c r="B58" s="8" t="s">
        <v>0</v>
      </c>
      <c r="C58" s="8" t="s">
        <v>1</v>
      </c>
      <c r="D58" s="8" t="s">
        <v>2</v>
      </c>
      <c r="E58" s="8" t="s">
        <v>3</v>
      </c>
      <c r="F58" s="8" t="s">
        <v>4</v>
      </c>
      <c r="G58" s="8" t="s">
        <v>5</v>
      </c>
      <c r="H58" s="8" t="s">
        <v>6</v>
      </c>
      <c r="I58" s="8" t="s">
        <v>7</v>
      </c>
    </row>
    <row r="59" spans="1:9" ht="15" customHeight="1" x14ac:dyDescent="0.3">
      <c r="A59" s="10"/>
      <c r="B59" s="1" t="s">
        <v>31</v>
      </c>
      <c r="C59" s="3">
        <v>3.5872099999999998</v>
      </c>
      <c r="D59" s="3">
        <v>4.3130300000000004</v>
      </c>
      <c r="E59" s="3">
        <v>4.1990499999999997</v>
      </c>
      <c r="F59" s="3">
        <v>3.7578399999999998</v>
      </c>
      <c r="G59" s="3">
        <v>3.5193099999999999</v>
      </c>
      <c r="H59" s="3">
        <v>3.1539299999999999</v>
      </c>
      <c r="I59" s="3">
        <f>AVERAGE(C59:H59)</f>
        <v>3.7550616666666663</v>
      </c>
    </row>
    <row r="60" spans="1:9" ht="15" customHeight="1" x14ac:dyDescent="0.3">
      <c r="A60" s="10"/>
      <c r="B60" s="1" t="s">
        <v>32</v>
      </c>
      <c r="C60" s="3">
        <v>3.65069</v>
      </c>
      <c r="D60" s="3">
        <v>4.3864599999999996</v>
      </c>
      <c r="E60" s="3">
        <v>4.2985300000000004</v>
      </c>
      <c r="F60" s="3">
        <v>3.8285999999999998</v>
      </c>
      <c r="G60" s="3">
        <v>3.5962100000000001</v>
      </c>
      <c r="H60" s="3">
        <v>3.2344900000000001</v>
      </c>
      <c r="I60" s="3">
        <f t="shared" ref="I60:I63" si="5">AVERAGE(C60:H60)</f>
        <v>3.8324966666666662</v>
      </c>
    </row>
    <row r="61" spans="1:9" ht="15" customHeight="1" x14ac:dyDescent="0.3">
      <c r="A61" s="10"/>
      <c r="B61" s="1" t="s">
        <v>33</v>
      </c>
      <c r="C61" s="3">
        <v>3.78931</v>
      </c>
      <c r="D61" s="3">
        <v>4.47865</v>
      </c>
      <c r="E61" s="3">
        <v>4.3454499999999996</v>
      </c>
      <c r="F61" s="3">
        <v>3.91086</v>
      </c>
      <c r="G61" s="3">
        <v>3.6721900000000001</v>
      </c>
      <c r="H61" s="3">
        <v>3.3535499999999998</v>
      </c>
      <c r="I61" s="3">
        <f t="shared" si="5"/>
        <v>3.9250016666666667</v>
      </c>
    </row>
    <row r="62" spans="1:9" ht="15" customHeight="1" x14ac:dyDescent="0.3">
      <c r="A62" s="10"/>
      <c r="B62" s="1" t="s">
        <v>34</v>
      </c>
      <c r="C62" s="3">
        <v>3.8165300000000002</v>
      </c>
      <c r="D62" s="3">
        <v>4.4609399999999999</v>
      </c>
      <c r="E62" s="3">
        <v>4.4165999999999999</v>
      </c>
      <c r="F62" s="3">
        <v>3.9832900000000002</v>
      </c>
      <c r="G62" s="3">
        <v>3.6722100000000002</v>
      </c>
      <c r="H62" s="3">
        <v>3.3889399999999998</v>
      </c>
      <c r="I62" s="3">
        <f t="shared" si="5"/>
        <v>3.9564183333333331</v>
      </c>
    </row>
    <row r="63" spans="1:9" ht="15" customHeight="1" x14ac:dyDescent="0.3">
      <c r="A63" s="10"/>
      <c r="B63" s="2" t="s">
        <v>35</v>
      </c>
      <c r="C63" s="4">
        <v>3.82613</v>
      </c>
      <c r="D63" s="4">
        <v>4.5096699999999998</v>
      </c>
      <c r="E63" s="4">
        <v>4.4214200000000003</v>
      </c>
      <c r="F63" s="4">
        <v>4.0342399999999996</v>
      </c>
      <c r="G63" s="4">
        <v>3.70669</v>
      </c>
      <c r="H63" s="4">
        <v>3.35059</v>
      </c>
      <c r="I63" s="4">
        <f t="shared" si="5"/>
        <v>3.9747900000000005</v>
      </c>
    </row>
    <row r="66" spans="1:9" ht="15" customHeight="1" x14ac:dyDescent="0.3">
      <c r="A66" s="9" t="s">
        <v>53</v>
      </c>
      <c r="B66" s="11" t="s">
        <v>13</v>
      </c>
      <c r="C66" s="11"/>
      <c r="D66" s="11"/>
      <c r="E66" s="11"/>
      <c r="F66" s="11"/>
      <c r="G66" s="11"/>
      <c r="H66" s="11"/>
      <c r="I66" s="11"/>
    </row>
    <row r="67" spans="1:9" ht="15" customHeight="1" x14ac:dyDescent="0.3">
      <c r="A67" s="10"/>
      <c r="B67" s="8" t="s">
        <v>0</v>
      </c>
      <c r="C67" s="8" t="s">
        <v>1</v>
      </c>
      <c r="D67" s="8" t="s">
        <v>2</v>
      </c>
      <c r="E67" s="8" t="s">
        <v>3</v>
      </c>
      <c r="F67" s="8" t="s">
        <v>4</v>
      </c>
      <c r="G67" s="8" t="s">
        <v>5</v>
      </c>
      <c r="H67" s="8" t="s">
        <v>6</v>
      </c>
      <c r="I67" s="8" t="s">
        <v>7</v>
      </c>
    </row>
    <row r="68" spans="1:9" ht="15" customHeight="1" x14ac:dyDescent="0.3">
      <c r="A68" s="10"/>
      <c r="B68" s="1" t="s">
        <v>31</v>
      </c>
      <c r="C68" s="3">
        <v>3.7833999999999999</v>
      </c>
      <c r="D68" s="3">
        <v>4.3612599999999997</v>
      </c>
      <c r="E68" s="3">
        <v>4.2225200000000003</v>
      </c>
      <c r="F68" s="3">
        <v>3.9348399999999999</v>
      </c>
      <c r="G68" s="3">
        <v>3.4268700000000001</v>
      </c>
      <c r="H68" s="3">
        <v>3.1867399999999999</v>
      </c>
      <c r="I68" s="3">
        <f>AVERAGE(C68:H68)</f>
        <v>3.8192716666666673</v>
      </c>
    </row>
    <row r="69" spans="1:9" ht="15" customHeight="1" x14ac:dyDescent="0.3">
      <c r="A69" s="10"/>
      <c r="B69" s="1" t="s">
        <v>32</v>
      </c>
      <c r="C69" s="3">
        <v>3.8894700000000002</v>
      </c>
      <c r="D69" s="3">
        <v>4.4556399999999998</v>
      </c>
      <c r="E69" s="3">
        <v>4.3234000000000004</v>
      </c>
      <c r="F69" s="3">
        <v>4.0381799999999997</v>
      </c>
      <c r="G69" s="3">
        <v>3.5754199999999998</v>
      </c>
      <c r="H69" s="3">
        <v>3.2797800000000001</v>
      </c>
      <c r="I69" s="3">
        <f t="shared" ref="I69:I72" si="6">AVERAGE(C69:H69)</f>
        <v>3.9269816666666668</v>
      </c>
    </row>
    <row r="70" spans="1:9" ht="15" customHeight="1" x14ac:dyDescent="0.3">
      <c r="A70" s="10"/>
      <c r="B70" s="1" t="s">
        <v>33</v>
      </c>
      <c r="C70" s="3"/>
      <c r="D70" s="3"/>
      <c r="E70" s="3"/>
      <c r="F70" s="3"/>
      <c r="G70" s="3"/>
      <c r="H70" s="3"/>
      <c r="I70" s="3" t="e">
        <f t="shared" si="6"/>
        <v>#DIV/0!</v>
      </c>
    </row>
    <row r="71" spans="1:9" ht="15" customHeight="1" x14ac:dyDescent="0.3">
      <c r="A71" s="10"/>
      <c r="B71" s="1" t="s">
        <v>34</v>
      </c>
      <c r="C71" s="3"/>
      <c r="D71" s="3"/>
      <c r="E71" s="3"/>
      <c r="F71" s="3"/>
      <c r="G71" s="3"/>
      <c r="H71" s="3"/>
      <c r="I71" s="3" t="e">
        <f t="shared" si="6"/>
        <v>#DIV/0!</v>
      </c>
    </row>
    <row r="72" spans="1:9" ht="15" customHeight="1" x14ac:dyDescent="0.3">
      <c r="A72" s="10"/>
      <c r="B72" s="2" t="s">
        <v>35</v>
      </c>
      <c r="C72" s="4"/>
      <c r="D72" s="4"/>
      <c r="E72" s="4"/>
      <c r="F72" s="4"/>
      <c r="G72" s="4"/>
      <c r="H72" s="4"/>
      <c r="I72" s="3" t="e">
        <f t="shared" si="6"/>
        <v>#DIV/0!</v>
      </c>
    </row>
    <row r="73" spans="1:9" ht="15" customHeight="1" x14ac:dyDescent="0.3">
      <c r="A73" s="10"/>
      <c r="B73" s="11" t="s">
        <v>14</v>
      </c>
      <c r="C73" s="11"/>
      <c r="D73" s="11"/>
      <c r="E73" s="11"/>
      <c r="F73" s="11"/>
      <c r="G73" s="11"/>
      <c r="H73" s="11"/>
      <c r="I73" s="11"/>
    </row>
    <row r="74" spans="1:9" ht="15" customHeight="1" x14ac:dyDescent="0.3">
      <c r="A74" s="10"/>
      <c r="B74" s="8" t="s">
        <v>0</v>
      </c>
      <c r="C74" s="8" t="s">
        <v>1</v>
      </c>
      <c r="D74" s="8" t="s">
        <v>2</v>
      </c>
      <c r="E74" s="8" t="s">
        <v>3</v>
      </c>
      <c r="F74" s="8" t="s">
        <v>4</v>
      </c>
      <c r="G74" s="8" t="s">
        <v>5</v>
      </c>
      <c r="H74" s="8" t="s">
        <v>6</v>
      </c>
      <c r="I74" s="8" t="s">
        <v>7</v>
      </c>
    </row>
    <row r="75" spans="1:9" ht="15" customHeight="1" x14ac:dyDescent="0.3">
      <c r="A75" s="10"/>
      <c r="B75" s="1" t="s">
        <v>31</v>
      </c>
      <c r="C75" s="3">
        <v>3.5064199999999999</v>
      </c>
      <c r="D75" s="3">
        <v>4.1836500000000001</v>
      </c>
      <c r="E75" s="3">
        <v>4.0758000000000001</v>
      </c>
      <c r="F75" s="3">
        <v>3.64452</v>
      </c>
      <c r="G75" s="3">
        <v>3.2332399999999999</v>
      </c>
      <c r="H75" s="3">
        <v>2.9424899999999998</v>
      </c>
      <c r="I75" s="3">
        <f>AVERAGE(C75:H75)</f>
        <v>3.5976866666666663</v>
      </c>
    </row>
    <row r="76" spans="1:9" ht="15" customHeight="1" x14ac:dyDescent="0.3">
      <c r="A76" s="10"/>
      <c r="B76" s="1" t="s">
        <v>32</v>
      </c>
      <c r="C76" s="3">
        <v>3.60745</v>
      </c>
      <c r="D76" s="3">
        <v>4.2968000000000002</v>
      </c>
      <c r="E76" s="3">
        <v>4.1498900000000001</v>
      </c>
      <c r="F76" s="3">
        <v>3.74688</v>
      </c>
      <c r="G76" s="3">
        <v>3.3121</v>
      </c>
      <c r="H76" s="3">
        <v>3.0874100000000002</v>
      </c>
      <c r="I76" s="3">
        <f t="shared" ref="I76:I79" si="7">AVERAGE(C76:H76)</f>
        <v>3.7000883333333334</v>
      </c>
    </row>
    <row r="77" spans="1:9" ht="15" customHeight="1" x14ac:dyDescent="0.3">
      <c r="A77" s="10"/>
      <c r="B77" s="1" t="s">
        <v>33</v>
      </c>
      <c r="C77" s="3"/>
      <c r="D77" s="3"/>
      <c r="E77" s="3"/>
      <c r="F77" s="3"/>
      <c r="G77" s="3"/>
      <c r="H77" s="3"/>
      <c r="I77" s="3" t="e">
        <f t="shared" si="7"/>
        <v>#DIV/0!</v>
      </c>
    </row>
    <row r="78" spans="1:9" ht="15" customHeight="1" x14ac:dyDescent="0.3">
      <c r="A78" s="10"/>
      <c r="B78" s="1" t="s">
        <v>34</v>
      </c>
      <c r="C78" s="3"/>
      <c r="D78" s="3"/>
      <c r="E78" s="3"/>
      <c r="F78" s="3"/>
      <c r="G78" s="3"/>
      <c r="H78" s="3"/>
      <c r="I78" s="3" t="e">
        <f t="shared" si="7"/>
        <v>#DIV/0!</v>
      </c>
    </row>
    <row r="79" spans="1:9" ht="15" customHeight="1" x14ac:dyDescent="0.3">
      <c r="A79" s="10"/>
      <c r="B79" s="2" t="s">
        <v>35</v>
      </c>
      <c r="C79" s="4"/>
      <c r="D79" s="4"/>
      <c r="E79" s="4"/>
      <c r="F79" s="4"/>
      <c r="G79" s="4"/>
      <c r="H79" s="4"/>
      <c r="I79" s="4" t="e">
        <f t="shared" si="7"/>
        <v>#DIV/0!</v>
      </c>
    </row>
  </sheetData>
  <mergeCells count="16">
    <mergeCell ref="A66:A79"/>
    <mergeCell ref="B66:I66"/>
    <mergeCell ref="B73:I73"/>
    <mergeCell ref="K2:M6"/>
    <mergeCell ref="A2:A15"/>
    <mergeCell ref="B2:I2"/>
    <mergeCell ref="B9:I9"/>
    <mergeCell ref="A18:A31"/>
    <mergeCell ref="B18:I18"/>
    <mergeCell ref="B25:I25"/>
    <mergeCell ref="A34:A47"/>
    <mergeCell ref="B34:I34"/>
    <mergeCell ref="B41:I41"/>
    <mergeCell ref="A50:A63"/>
    <mergeCell ref="B50:I50"/>
    <mergeCell ref="B57:I5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llama2-7b</vt:lpstr>
      <vt:lpstr>llama3-8b-60_7_10</vt:lpstr>
      <vt:lpstr>llama3-8b-60_5_10</vt:lpstr>
      <vt:lpstr>llama3-8b-16_3_4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2026-02-09T04:01:50Z</dcterms:modified>
</cp:coreProperties>
</file>